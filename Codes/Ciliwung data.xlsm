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drawings/drawing1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Pelajaran Master\Semester 2\Dissertation\Test River\"/>
    </mc:Choice>
  </mc:AlternateContent>
  <xr:revisionPtr revIDLastSave="0" documentId="13_ncr:1_{F4BD64BB-741E-41A6-9382-C7375011BED7}" xr6:coauthVersionLast="45" xr6:coauthVersionMax="45" xr10:uidLastSave="{00000000-0000-0000-0000-000000000000}"/>
  <bookViews>
    <workbookView xWindow="-108" yWindow="-108" windowWidth="23256" windowHeight="12576" activeTab="4" xr2:uid="{00000000-000D-0000-FFFF-FFFF00000000}"/>
  </bookViews>
  <sheets>
    <sheet name="rating curve" sheetId="516" r:id="rId1"/>
    <sheet name="3-panel graph" sheetId="505" r:id="rId2"/>
    <sheet name="Box" sheetId="458" r:id="rId3"/>
    <sheet name="FEV" sheetId="461" r:id="rId4"/>
    <sheet name="mitigation" sheetId="495" r:id="rId5"/>
    <sheet name="mitigation 2" sheetId="497" r:id="rId6"/>
    <sheet name="Data" sheetId="1" r:id="rId7"/>
  </sheets>
  <definedNames>
    <definedName name="_xlnm._FilterDatabase" localSheetId="6" hidden="1">Data!$G$1:$I$101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2" i="1" l="1"/>
  <c r="M23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M24" i="1"/>
  <c r="M21" i="1" l="1"/>
</calcChain>
</file>

<file path=xl/sharedStrings.xml><?xml version="1.0" encoding="utf-8"?>
<sst xmlns="http://schemas.openxmlformats.org/spreadsheetml/2006/main" count="8" uniqueCount="8">
  <si>
    <t>Day</t>
  </si>
  <si>
    <t xml:space="preserve">Flowrate </t>
  </si>
  <si>
    <t>Riverheight</t>
  </si>
  <si>
    <t>FEV1</t>
  </si>
  <si>
    <t>FEV2</t>
  </si>
  <si>
    <t>FEV3</t>
  </si>
  <si>
    <t>ht = 2.8</t>
  </si>
  <si>
    <t>Tf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</si>
</sst>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2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2" fontId="0" fillId="2" borderId="0" xfId="0" applyNumberFormat="1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3.xml"/><Relationship Id="rId7" Type="http://schemas.openxmlformats.org/officeDocument/2006/relationships/worksheet" Target="worksheets/sheet1.xml"/><Relationship Id="rId12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6.xml"/><Relationship Id="rId11" Type="http://schemas.openxmlformats.org/officeDocument/2006/relationships/calcChain" Target="calcChain.xml"/><Relationship Id="rId5" Type="http://schemas.openxmlformats.org/officeDocument/2006/relationships/chartsheet" Target="chartsheets/sheet5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>
              <a:solidFill>
                <a:srgbClr val="000000"/>
              </a:solidFill>
            </a:ln>
          </c:spPr>
          <c:marker>
            <c:spPr>
              <a:ln w="31750">
                <a:solidFill>
                  <a:srgbClr val="000000"/>
                </a:solidFill>
              </a:ln>
            </c:spPr>
          </c:marker>
          <c:xVal>
            <c:numLit>
              <c:formatCode>General</c:formatCode>
              <c:ptCount val="101"/>
              <c:pt idx="0">
                <c:v>#N/A</c:v>
              </c:pt>
              <c:pt idx="1">
                <c:v>-0.27401129943502822</c:v>
              </c:pt>
              <c:pt idx="2">
                <c:v>-0.25988700564971751</c:v>
              </c:pt>
              <c:pt idx="3">
                <c:v>-0.24858757062146888</c:v>
              </c:pt>
              <c:pt idx="4">
                <c:v>0</c:v>
              </c:pt>
              <c:pt idx="5">
                <c:v>-0.23163841807909605</c:v>
              </c:pt>
              <c:pt idx="6">
                <c:v>-0.23728813559322037</c:v>
              </c:pt>
              <c:pt idx="7">
                <c:v>-0.24011299435028252</c:v>
              </c:pt>
              <c:pt idx="8">
                <c:v>-0.24293785310734467</c:v>
              </c:pt>
              <c:pt idx="9">
                <c:v>-0.22598870056497175</c:v>
              </c:pt>
              <c:pt idx="10">
                <c:v>-0.2231638418079096</c:v>
              </c:pt>
              <c:pt idx="11">
                <c:v>-0.21468926553672316</c:v>
              </c:pt>
              <c:pt idx="12">
                <c:v>-0.22033898305084745</c:v>
              </c:pt>
              <c:pt idx="13">
                <c:v>-0.28813559322033899</c:v>
              </c:pt>
              <c:pt idx="14">
                <c:v>-0.35875706214689268</c:v>
              </c:pt>
              <c:pt idx="15">
                <c:v>-0.36440677966101698</c:v>
              </c:pt>
              <c:pt idx="16">
                <c:v>-0.37288135593220334</c:v>
              </c:pt>
              <c:pt idx="17">
                <c:v>-0.38700564971751417</c:v>
              </c:pt>
              <c:pt idx="18">
                <c:v>-0.44915254237288132</c:v>
              </c:pt>
              <c:pt idx="19">
                <c:v>-0.4943502824858757</c:v>
              </c:pt>
              <c:pt idx="20">
                <c:v>-0.59887005649717517</c:v>
              </c:pt>
              <c:pt idx="21">
                <c:v>-0.60451977401129942</c:v>
              </c:pt>
              <c:pt idx="22">
                <c:v>-0.67231638418079087</c:v>
              </c:pt>
              <c:pt idx="23">
                <c:v>-0.8728813559322034</c:v>
              </c:pt>
              <c:pt idx="24">
                <c:v>-0.94632768361581909</c:v>
              </c:pt>
              <c:pt idx="25">
                <c:v>-1</c:v>
              </c:pt>
              <c:pt idx="26">
                <c:v>-0.90960451977401136</c:v>
              </c:pt>
              <c:pt idx="27">
                <c:v>-0.96327683615819215</c:v>
              </c:pt>
              <c:pt idx="28">
                <c:v>-0.93220338983050843</c:v>
              </c:pt>
              <c:pt idx="29">
                <c:v>-0.93220338983050843</c:v>
              </c:pt>
              <c:pt idx="30">
                <c:v>-0.88983050847457623</c:v>
              </c:pt>
              <c:pt idx="31">
                <c:v>-0.83050847457627119</c:v>
              </c:pt>
              <c:pt idx="32">
                <c:v>-0.76836158192090398</c:v>
              </c:pt>
              <c:pt idx="33">
                <c:v>-0.70903954802259883</c:v>
              </c:pt>
              <c:pt idx="34">
                <c:v>-0.66666666666666663</c:v>
              </c:pt>
              <c:pt idx="35">
                <c:v>-0.60169491525423724</c:v>
              </c:pt>
              <c:pt idx="36">
                <c:v>-0.55084745762711873</c:v>
              </c:pt>
              <c:pt idx="37">
                <c:v>-0.50282485875706207</c:v>
              </c:pt>
              <c:pt idx="38">
                <c:v>-0.47457627118644075</c:v>
              </c:pt>
              <c:pt idx="39">
                <c:v>-0.4463276836158192</c:v>
              </c:pt>
              <c:pt idx="40">
                <c:v>-0.42090395480225995</c:v>
              </c:pt>
              <c:pt idx="41">
                <c:v>-0.40112994350282483</c:v>
              </c:pt>
              <c:pt idx="42">
                <c:v>-0.38983050847457623</c:v>
              </c:pt>
              <c:pt idx="43">
                <c:v>-0.37570621468926557</c:v>
              </c:pt>
              <c:pt idx="44">
                <c:v>-0.36440677966101698</c:v>
              </c:pt>
              <c:pt idx="45">
                <c:v>-0.35310734463276838</c:v>
              </c:pt>
              <c:pt idx="46">
                <c:v>-0.34180790960451973</c:v>
              </c:pt>
              <c:pt idx="47">
                <c:v>-0.33333333333333331</c:v>
              </c:pt>
              <c:pt idx="48">
                <c:v>-0.32485875706214684</c:v>
              </c:pt>
              <c:pt idx="49">
                <c:v>-0.31920903954802254</c:v>
              </c:pt>
              <c:pt idx="50">
                <c:v>-0.33898305084745761</c:v>
              </c:pt>
              <c:pt idx="51">
                <c:v>-0.3135593220338983</c:v>
              </c:pt>
              <c:pt idx="52">
                <c:v>-0.31638418079096048</c:v>
              </c:pt>
              <c:pt idx="53">
                <c:v>-0.30508474576271188</c:v>
              </c:pt>
              <c:pt idx="54">
                <c:v>-0.29661016949152541</c:v>
              </c:pt>
              <c:pt idx="55">
                <c:v>-0.28813559322033899</c:v>
              </c:pt>
              <c:pt idx="56">
                <c:v>-0.28531073446327682</c:v>
              </c:pt>
              <c:pt idx="57">
                <c:v>-0.2768361581920904</c:v>
              </c:pt>
              <c:pt idx="58">
                <c:v>-0.27401129943502822</c:v>
              </c:pt>
              <c:pt idx="59">
                <c:v>-0.26836158192090392</c:v>
              </c:pt>
              <c:pt idx="60">
                <c:v>-0.2655367231638418</c:v>
              </c:pt>
              <c:pt idx="61">
                <c:v>-0.26271186440677963</c:v>
              </c:pt>
              <c:pt idx="62">
                <c:v>-0.25988700564971751</c:v>
              </c:pt>
              <c:pt idx="63">
                <c:v>-0.25706214689265533</c:v>
              </c:pt>
              <c:pt idx="64">
                <c:v>-0.25141242937853103</c:v>
              </c:pt>
              <c:pt idx="65">
                <c:v>-0.25141242937853103</c:v>
              </c:pt>
              <c:pt idx="66">
                <c:v>-0.24858757062146888</c:v>
              </c:pt>
              <c:pt idx="67">
                <c:v>-0.24576271186440682</c:v>
              </c:pt>
              <c:pt idx="68">
                <c:v>-0.24293785310734467</c:v>
              </c:pt>
              <c:pt idx="69">
                <c:v>-0.24011299435028252</c:v>
              </c:pt>
              <c:pt idx="70">
                <c:v>-0.23728813559322037</c:v>
              </c:pt>
              <c:pt idx="71">
                <c:v>-0.2344632768361582</c:v>
              </c:pt>
              <c:pt idx="72">
                <c:v>-0.23163841807909605</c:v>
              </c:pt>
              <c:pt idx="73">
                <c:v>-0.23163841807909605</c:v>
              </c:pt>
              <c:pt idx="74">
                <c:v>-0.2288135593220339</c:v>
              </c:pt>
              <c:pt idx="75">
                <c:v>-0.22598870056497175</c:v>
              </c:pt>
              <c:pt idx="76">
                <c:v>-0.22598870056497175</c:v>
              </c:pt>
              <c:pt idx="77">
                <c:v>-0.22598870056497175</c:v>
              </c:pt>
              <c:pt idx="78">
                <c:v>-0.2231638418079096</c:v>
              </c:pt>
              <c:pt idx="79">
                <c:v>-0.22033898305084745</c:v>
              </c:pt>
              <c:pt idx="80">
                <c:v>-0.2175141242937853</c:v>
              </c:pt>
              <c:pt idx="81">
                <c:v>-0.21468926553672316</c:v>
              </c:pt>
              <c:pt idx="82">
                <c:v>-0.21468926553672316</c:v>
              </c:pt>
              <c:pt idx="83">
                <c:v>-0.21468926553672316</c:v>
              </c:pt>
              <c:pt idx="84">
                <c:v>-0.21468926553672316</c:v>
              </c:pt>
              <c:pt idx="85">
                <c:v>-0.21186440677966101</c:v>
              </c:pt>
              <c:pt idx="86">
                <c:v>-0.20903954802259886</c:v>
              </c:pt>
              <c:pt idx="87">
                <c:v>-0.20621468926553671</c:v>
              </c:pt>
              <c:pt idx="88">
                <c:v>-0.20621468926553671</c:v>
              </c:pt>
              <c:pt idx="89">
                <c:v>-0.20621468926553671</c:v>
              </c:pt>
              <c:pt idx="90">
                <c:v>-0.20621468926553671</c:v>
              </c:pt>
              <c:pt idx="91">
                <c:v>-0.20338983050847456</c:v>
              </c:pt>
              <c:pt idx="92">
                <c:v>-0.20056497175141241</c:v>
              </c:pt>
              <c:pt idx="93">
                <c:v>-0.20056497175141241</c:v>
              </c:pt>
              <c:pt idx="94">
                <c:v>-0.20056497175141241</c:v>
              </c:pt>
              <c:pt idx="95">
                <c:v>-0.19774011299435026</c:v>
              </c:pt>
              <c:pt idx="96">
                <c:v>-0.19774011299435026</c:v>
              </c:pt>
              <c:pt idx="97">
                <c:v>-0.19774011299435026</c:v>
              </c:pt>
              <c:pt idx="98">
                <c:v>-0.20056497175141241</c:v>
              </c:pt>
              <c:pt idx="99">
                <c:v>-0.20338983050847456</c:v>
              </c:pt>
              <c:pt idx="100">
                <c:v>-0.20621468926553671</c:v>
              </c:pt>
            </c:numLit>
          </c:xVal>
          <c:yVal>
            <c:numLit>
              <c:formatCode>General</c:formatCode>
              <c:ptCount val="101"/>
              <c:pt idx="0">
                <c:v>#N/A</c:v>
              </c:pt>
              <c:pt idx="1">
                <c:v>0.17548454764910859</c:v>
              </c:pt>
              <c:pt idx="2">
                <c:v>0.16440572240455334</c:v>
              </c:pt>
              <c:pt idx="3">
                <c:v>0.15569364471000968</c:v>
              </c:pt>
              <c:pt idx="4">
                <c:v>0</c:v>
              </c:pt>
              <c:pt idx="5">
                <c:v>0.14287911475066045</c:v>
              </c:pt>
              <c:pt idx="6">
                <c:v>0.14711667141250159</c:v>
              </c:pt>
              <c:pt idx="7">
                <c:v>0.1492482024259886</c:v>
              </c:pt>
              <c:pt idx="8">
                <c:v>0.15138821722095158</c:v>
              </c:pt>
              <c:pt idx="9">
                <c:v>0.13867565625563377</c:v>
              </c:pt>
              <c:pt idx="10">
                <c:v>0.13658674832438567</c:v>
              </c:pt>
              <c:pt idx="11">
                <c:v>0.13037147786195619</c:v>
              </c:pt>
              <c:pt idx="12">
                <c:v>0.13450640654225829</c:v>
              </c:pt>
              <c:pt idx="13">
                <c:v>0.18677160604747858</c:v>
              </c:pt>
              <c:pt idx="14">
                <c:v>0.24627883605617826</c:v>
              </c:pt>
              <c:pt idx="15">
                <c:v>0.2512573916683114</c:v>
              </c:pt>
              <c:pt idx="16">
                <c:v>0.25878498361888552</c:v>
              </c:pt>
              <c:pt idx="17">
                <c:v>0.27148965873883352</c:v>
              </c:pt>
              <c:pt idx="18">
                <c:v>0.32971829495337901</c:v>
              </c:pt>
              <c:pt idx="19">
                <c:v>0.37441004267349537</c:v>
              </c:pt>
              <c:pt idx="20">
                <c:v>0.48511854573987345</c:v>
              </c:pt>
              <c:pt idx="21">
                <c:v>0.49139015927971996</c:v>
              </c:pt>
              <c:pt idx="22">
                <c:v>0.56890367029915712</c:v>
              </c:pt>
              <c:pt idx="23">
                <c:v>0.82192652154712253</c:v>
              </c:pt>
              <c:pt idx="24">
                <c:v>0.92317580923414322</c:v>
              </c:pt>
              <c:pt idx="25">
                <c:v>1</c:v>
              </c:pt>
              <c:pt idx="26">
                <c:v>0.8719869141195673</c:v>
              </c:pt>
              <c:pt idx="27">
                <c:v>0.94717933704067503</c:v>
              </c:pt>
              <c:pt idx="28">
                <c:v>0.9033548571518325</c:v>
              </c:pt>
              <c:pt idx="29">
                <c:v>0.9033548571518325</c:v>
              </c:pt>
              <c:pt idx="30">
                <c:v>0.84489044751816711</c:v>
              </c:pt>
              <c:pt idx="31">
                <c:v>0.76558020251032399</c:v>
              </c:pt>
              <c:pt idx="32">
                <c:v>0.68571593517196994</c:v>
              </c:pt>
              <c:pt idx="33">
                <c:v>0.61260796073129842</c:v>
              </c:pt>
              <c:pt idx="34">
                <c:v>0.56228639385348189</c:v>
              </c:pt>
              <c:pt idx="35">
                <c:v>0.48825071273160747</c:v>
              </c:pt>
              <c:pt idx="36">
                <c:v>0.43299213207741449</c:v>
              </c:pt>
              <c:pt idx="37">
                <c:v>0.38300615184255898</c:v>
              </c:pt>
              <c:pt idx="38">
                <c:v>0.354617358718051</c:v>
              </c:pt>
              <c:pt idx="39">
                <c:v>0.32699007190733359</c:v>
              </c:pt>
              <c:pt idx="40">
                <c:v>0.30278358693697871</c:v>
              </c:pt>
              <c:pt idx="41">
                <c:v>0.28439163237458814</c:v>
              </c:pt>
              <c:pt idx="42">
                <c:v>0.27405430831258071</c:v>
              </c:pt>
              <c:pt idx="43">
                <c:v>0.26131007626464053</c:v>
              </c:pt>
              <c:pt idx="44">
                <c:v>0.2512573916683114</c:v>
              </c:pt>
              <c:pt idx="45">
                <c:v>0.24133224673129589</c:v>
              </c:pt>
              <c:pt idx="46">
                <c:v>0.23153529813504392</c:v>
              </c:pt>
              <c:pt idx="47">
                <c:v>0.22427211930929977</c:v>
              </c:pt>
              <c:pt idx="48">
                <c:v>0.21708171824284334</c:v>
              </c:pt>
              <c:pt idx="49">
                <c:v>0.21232869498820556</c:v>
              </c:pt>
              <c:pt idx="50">
                <c:v>0.2291061700881053</c:v>
              </c:pt>
              <c:pt idx="51">
                <c:v>0.20760823701941922</c:v>
              </c:pt>
              <c:pt idx="52">
                <c:v>0.20996438975679946</c:v>
              </c:pt>
              <c:pt idx="53">
                <c:v>0.20058880671922852</c:v>
              </c:pt>
              <c:pt idx="54">
                <c:v>0.19364315847653096</c:v>
              </c:pt>
              <c:pt idx="55">
                <c:v>0.18677160604747858</c:v>
              </c:pt>
              <c:pt idx="56">
                <c:v>0.18449760941252735</c:v>
              </c:pt>
              <c:pt idx="57">
                <c:v>0.17772535005318918</c:v>
              </c:pt>
              <c:pt idx="58">
                <c:v>0.17548454764910859</c:v>
              </c:pt>
              <c:pt idx="59">
                <c:v>0.17102794272805041</c:v>
              </c:pt>
              <c:pt idx="60">
                <c:v>0.16881216510523103</c:v>
              </c:pt>
              <c:pt idx="61">
                <c:v>0.16660475411090417</c:v>
              </c:pt>
              <c:pt idx="62">
                <c:v>0.16440572240455334</c:v>
              </c:pt>
              <c:pt idx="63">
                <c:v>0.16221508273248872</c:v>
              </c:pt>
              <c:pt idx="64">
                <c:v>0.15785903091700104</c:v>
              </c:pt>
              <c:pt idx="65">
                <c:v>0.15785903091700104</c:v>
              </c:pt>
              <c:pt idx="66">
                <c:v>0.15569364471000968</c:v>
              </c:pt>
              <c:pt idx="67">
                <c:v>0.1535367024123937</c:v>
              </c:pt>
              <c:pt idx="68">
                <c:v>0.15138821722095158</c:v>
              </c:pt>
              <c:pt idx="69">
                <c:v>0.1492482024259886</c:v>
              </c:pt>
              <c:pt idx="70">
                <c:v>0.14711667141250159</c:v>
              </c:pt>
              <c:pt idx="71">
                <c:v>0.14499363766138518</c:v>
              </c:pt>
              <c:pt idx="72">
                <c:v>0.14287911475066045</c:v>
              </c:pt>
              <c:pt idx="73">
                <c:v>0.14287911475066045</c:v>
              </c:pt>
              <c:pt idx="74">
                <c:v>0.14077311635672615</c:v>
              </c:pt>
              <c:pt idx="75">
                <c:v>0.13867565625563377</c:v>
              </c:pt>
              <c:pt idx="76">
                <c:v>0.13867565625563377</c:v>
              </c:pt>
              <c:pt idx="77">
                <c:v>0.13867565625563377</c:v>
              </c:pt>
              <c:pt idx="78">
                <c:v>0.13658674832438567</c:v>
              </c:pt>
              <c:pt idx="79">
                <c:v>0.13450640654225829</c:v>
              </c:pt>
              <c:pt idx="80">
                <c:v>0.13243464499215027</c:v>
              </c:pt>
              <c:pt idx="81">
                <c:v>0.13037147786195619</c:v>
              </c:pt>
              <c:pt idx="82">
                <c:v>0.13037147786195619</c:v>
              </c:pt>
              <c:pt idx="83">
                <c:v>0.13037147786195619</c:v>
              </c:pt>
              <c:pt idx="84">
                <c:v>0.13037147786195619</c:v>
              </c:pt>
              <c:pt idx="85">
                <c:v>0.12831691944596668</c:v>
              </c:pt>
              <c:pt idx="86">
                <c:v>0.12627098414629565</c:v>
              </c:pt>
              <c:pt idx="87">
                <c:v>0.12423368647433475</c:v>
              </c:pt>
              <c:pt idx="88">
                <c:v>0.12423368647433475</c:v>
              </c:pt>
              <c:pt idx="89">
                <c:v>0.12423368647433475</c:v>
              </c:pt>
              <c:pt idx="90">
                <c:v>0.12423368647433475</c:v>
              </c:pt>
              <c:pt idx="91">
                <c:v>0.1222050410522371</c:v>
              </c:pt>
              <c:pt idx="92">
                <c:v>0.12018506261442923</c:v>
              </c:pt>
              <c:pt idx="93">
                <c:v>0.12018506261442923</c:v>
              </c:pt>
              <c:pt idx="94">
                <c:v>0.12018506261442923</c:v>
              </c:pt>
              <c:pt idx="95">
                <c:v>0.11817376600915334</c:v>
              </c:pt>
              <c:pt idx="96">
                <c:v>0.11817376600915334</c:v>
              </c:pt>
              <c:pt idx="97">
                <c:v>0.11817376600915334</c:v>
              </c:pt>
              <c:pt idx="98">
                <c:v>0.12018506261442923</c:v>
              </c:pt>
              <c:pt idx="99">
                <c:v>0.1222050410522371</c:v>
              </c:pt>
              <c:pt idx="100">
                <c:v>0.12423368647433475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6143-403E-B4A5-A3E823E070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180768"/>
        <c:axId val="545185360"/>
      </c:scatterChart>
      <c:valAx>
        <c:axId val="545180768"/>
        <c:scaling>
          <c:orientation val="minMax"/>
          <c:max val="0"/>
          <c:min val="-1"/>
        </c:scaling>
        <c:delete val="0"/>
        <c:axPos val="b"/>
        <c:numFmt formatCode="General" sourceLinked="1"/>
        <c:majorTickMark val="out"/>
        <c:minorTickMark val="none"/>
        <c:tickLblPos val="nextTo"/>
        <c:crossAx val="545185360"/>
        <c:crosses val="autoZero"/>
        <c:crossBetween val="midCat"/>
      </c:valAx>
      <c:valAx>
        <c:axId val="545185360"/>
        <c:scaling>
          <c:orientation val="minMax"/>
          <c:max val="1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4518076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1750">
              <a:solidFill>
                <a:schemeClr val="tx1"/>
              </a:solidFill>
            </a:ln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#N/A</c:v>
              </c:pt>
              <c:pt idx="1">
                <c:v>0</c:v>
              </c:pt>
              <c:pt idx="2">
                <c:v>1.0309196725878716E-2</c:v>
              </c:pt>
              <c:pt idx="3">
                <c:v>2.0618393451757432E-2</c:v>
              </c:pt>
              <c:pt idx="4">
                <c:v>3.092759017763615E-2</c:v>
              </c:pt>
              <c:pt idx="5">
                <c:v>4.1236786903514865E-2</c:v>
              </c:pt>
              <c:pt idx="6">
                <c:v>5.1545983629393582E-2</c:v>
              </c:pt>
              <c:pt idx="7">
                <c:v>6.18551803552723E-2</c:v>
              </c:pt>
              <c:pt idx="8">
                <c:v>7.2164377081151018E-2</c:v>
              </c:pt>
              <c:pt idx="9">
                <c:v>8.2473573807029729E-2</c:v>
              </c:pt>
              <c:pt idx="10">
                <c:v>9.2782770532908454E-2</c:v>
              </c:pt>
              <c:pt idx="11">
                <c:v>0.10309196725878716</c:v>
              </c:pt>
              <c:pt idx="12">
                <c:v>0.11340116398466588</c:v>
              </c:pt>
              <c:pt idx="13">
                <c:v>0.1237103607105446</c:v>
              </c:pt>
              <c:pt idx="14">
                <c:v>0.13401955743642333</c:v>
              </c:pt>
              <c:pt idx="15">
                <c:v>0.14432875416230204</c:v>
              </c:pt>
              <c:pt idx="16">
                <c:v>0.15463795088818075</c:v>
              </c:pt>
              <c:pt idx="17">
                <c:v>0.16494714761405946</c:v>
              </c:pt>
              <c:pt idx="18">
                <c:v>0.17525634433993817</c:v>
              </c:pt>
              <c:pt idx="19">
                <c:v>0.18556554106581691</c:v>
              </c:pt>
              <c:pt idx="20">
                <c:v>0.19587473779169562</c:v>
              </c:pt>
              <c:pt idx="21">
                <c:v>0.20618393451757433</c:v>
              </c:pt>
              <c:pt idx="22">
                <c:v>0.21649313124345304</c:v>
              </c:pt>
              <c:pt idx="23">
                <c:v>0.22680232796933175</c:v>
              </c:pt>
              <c:pt idx="24">
                <c:v>0.23711152469521049</c:v>
              </c:pt>
              <c:pt idx="25">
                <c:v>0.2474207214210892</c:v>
              </c:pt>
              <c:pt idx="26">
                <c:v>0.25772991814696788</c:v>
              </c:pt>
              <c:pt idx="27">
                <c:v>0.26803911487284665</c:v>
              </c:pt>
              <c:pt idx="28">
                <c:v>0.27834831159872536</c:v>
              </c:pt>
              <c:pt idx="29">
                <c:v>0.28865750832460407</c:v>
              </c:pt>
              <c:pt idx="30">
                <c:v>0.29896670505048278</c:v>
              </c:pt>
              <c:pt idx="31">
                <c:v>0.30927590177636149</c:v>
              </c:pt>
              <c:pt idx="32">
                <c:v>0.31958509850224021</c:v>
              </c:pt>
              <c:pt idx="33">
                <c:v>0.32989429522811892</c:v>
              </c:pt>
              <c:pt idx="34">
                <c:v>0.34020349195399763</c:v>
              </c:pt>
              <c:pt idx="35">
                <c:v>0.35051268867987634</c:v>
              </c:pt>
              <c:pt idx="36">
                <c:v>0.36082188540575505</c:v>
              </c:pt>
              <c:pt idx="37">
                <c:v>0.37113108213163382</c:v>
              </c:pt>
              <c:pt idx="38">
                <c:v>0.38144027885751253</c:v>
              </c:pt>
              <c:pt idx="39">
                <c:v>0.39174947558339124</c:v>
              </c:pt>
              <c:pt idx="40">
                <c:v>0.40205867230926995</c:v>
              </c:pt>
              <c:pt idx="41">
                <c:v>0.41236786903514866</c:v>
              </c:pt>
              <c:pt idx="42">
                <c:v>0.42267706576102737</c:v>
              </c:pt>
              <c:pt idx="43">
                <c:v>0.43298626248690608</c:v>
              </c:pt>
              <c:pt idx="44">
                <c:v>0.44329545921278479</c:v>
              </c:pt>
              <c:pt idx="45">
                <c:v>0.4536046559386635</c:v>
              </c:pt>
              <c:pt idx="46">
                <c:v>0.46391385266454221</c:v>
              </c:pt>
              <c:pt idx="47">
                <c:v>0.47422304939042098</c:v>
              </c:pt>
              <c:pt idx="48">
                <c:v>0.48453224611629969</c:v>
              </c:pt>
              <c:pt idx="49">
                <c:v>0.4948414428421784</c:v>
              </c:pt>
              <c:pt idx="50">
                <c:v>0.49484936043194289</c:v>
              </c:pt>
              <c:pt idx="51">
                <c:v>0.50515063956805706</c:v>
              </c:pt>
              <c:pt idx="52">
                <c:v>0.50515855715782165</c:v>
              </c:pt>
              <c:pt idx="53">
                <c:v>0.51546775388370036</c:v>
              </c:pt>
              <c:pt idx="54">
                <c:v>0.52577695060957907</c:v>
              </c:pt>
              <c:pt idx="55">
                <c:v>0.53608614733545779</c:v>
              </c:pt>
              <c:pt idx="56">
                <c:v>0.5463953440613365</c:v>
              </c:pt>
              <c:pt idx="57">
                <c:v>0.55670454078721521</c:v>
              </c:pt>
              <c:pt idx="58">
                <c:v>0.56701373751309392</c:v>
              </c:pt>
              <c:pt idx="59">
                <c:v>0.57732293423897263</c:v>
              </c:pt>
              <c:pt idx="60">
                <c:v>0.58763213096485134</c:v>
              </c:pt>
              <c:pt idx="61">
                <c:v>0.59794132769073005</c:v>
              </c:pt>
              <c:pt idx="62">
                <c:v>0.60825052441660876</c:v>
              </c:pt>
              <c:pt idx="63">
                <c:v>0.61855972114248747</c:v>
              </c:pt>
              <c:pt idx="64">
                <c:v>0.62886891786836618</c:v>
              </c:pt>
              <c:pt idx="65">
                <c:v>0.63917811459424489</c:v>
              </c:pt>
              <c:pt idx="66">
                <c:v>0.64948731132012361</c:v>
              </c:pt>
              <c:pt idx="67">
                <c:v>0.65979650804600232</c:v>
              </c:pt>
              <c:pt idx="68">
                <c:v>0.67010570477188103</c:v>
              </c:pt>
              <c:pt idx="69">
                <c:v>0.68041490149775974</c:v>
              </c:pt>
              <c:pt idx="70">
                <c:v>0.69072409822363856</c:v>
              </c:pt>
              <c:pt idx="71">
                <c:v>0.70103329494951727</c:v>
              </c:pt>
              <c:pt idx="72">
                <c:v>0.71134249167539598</c:v>
              </c:pt>
              <c:pt idx="73">
                <c:v>0.72165168840127469</c:v>
              </c:pt>
              <c:pt idx="74">
                <c:v>0.7319608851271534</c:v>
              </c:pt>
              <c:pt idx="75">
                <c:v>0.74227008185303212</c:v>
              </c:pt>
              <c:pt idx="76">
                <c:v>0.75257927857891083</c:v>
              </c:pt>
              <c:pt idx="77">
                <c:v>0.76288847530478954</c:v>
              </c:pt>
              <c:pt idx="78">
                <c:v>0.77319767203066825</c:v>
              </c:pt>
              <c:pt idx="79">
                <c:v>0.78350686875654696</c:v>
              </c:pt>
              <c:pt idx="80">
                <c:v>0.79381606548242567</c:v>
              </c:pt>
              <c:pt idx="81">
                <c:v>0.80412526220830438</c:v>
              </c:pt>
              <c:pt idx="82">
                <c:v>0.81443445893418309</c:v>
              </c:pt>
              <c:pt idx="83">
                <c:v>0.8247436556600618</c:v>
              </c:pt>
              <c:pt idx="84">
                <c:v>0.83505285238594051</c:v>
              </c:pt>
              <c:pt idx="85">
                <c:v>0.84536204911181922</c:v>
              </c:pt>
              <c:pt idx="86">
                <c:v>0.85567124583769794</c:v>
              </c:pt>
              <c:pt idx="87">
                <c:v>0.86598044256357665</c:v>
              </c:pt>
              <c:pt idx="88">
                <c:v>0.87628963928945536</c:v>
              </c:pt>
              <c:pt idx="89">
                <c:v>0.88659883601533407</c:v>
              </c:pt>
              <c:pt idx="90">
                <c:v>0.89690803274121289</c:v>
              </c:pt>
              <c:pt idx="91">
                <c:v>0.9072172294670916</c:v>
              </c:pt>
              <c:pt idx="92">
                <c:v>0.91752642619297031</c:v>
              </c:pt>
              <c:pt idx="93">
                <c:v>0.92783562291884902</c:v>
              </c:pt>
              <c:pt idx="94">
                <c:v>0.93814481964472773</c:v>
              </c:pt>
              <c:pt idx="95">
                <c:v>0.94845401637060645</c:v>
              </c:pt>
              <c:pt idx="96">
                <c:v>0.95876321309648516</c:v>
              </c:pt>
              <c:pt idx="97">
                <c:v>0.96907240982236387</c:v>
              </c:pt>
              <c:pt idx="98">
                <c:v>0.97938160654824258</c:v>
              </c:pt>
              <c:pt idx="99">
                <c:v>0.98969080327412129</c:v>
              </c:pt>
              <c:pt idx="100">
                <c:v>1</c:v>
              </c:pt>
            </c:numLit>
          </c:xVal>
          <c:yVal>
            <c:numLit>
              <c:formatCode>General</c:formatCode>
              <c:ptCount val="101"/>
              <c:pt idx="0">
                <c:v>#N/A</c:v>
              </c:pt>
              <c:pt idx="1">
                <c:v>0.17548454764910859</c:v>
              </c:pt>
              <c:pt idx="2">
                <c:v>0.16440572240455334</c:v>
              </c:pt>
              <c:pt idx="3">
                <c:v>0.15569364471000968</c:v>
              </c:pt>
              <c:pt idx="4">
                <c:v>0</c:v>
              </c:pt>
              <c:pt idx="5">
                <c:v>0.14287911475066045</c:v>
              </c:pt>
              <c:pt idx="6">
                <c:v>0.14711667141250159</c:v>
              </c:pt>
              <c:pt idx="7">
                <c:v>0.1492482024259886</c:v>
              </c:pt>
              <c:pt idx="8">
                <c:v>0.15138821722095158</c:v>
              </c:pt>
              <c:pt idx="9">
                <c:v>0.13867565625563377</c:v>
              </c:pt>
              <c:pt idx="10">
                <c:v>0.13658674832438567</c:v>
              </c:pt>
              <c:pt idx="11">
                <c:v>0.13037147786195619</c:v>
              </c:pt>
              <c:pt idx="12">
                <c:v>0.13450640654225829</c:v>
              </c:pt>
              <c:pt idx="13">
                <c:v>0.18677160604747858</c:v>
              </c:pt>
              <c:pt idx="14">
                <c:v>0.24627883605617826</c:v>
              </c:pt>
              <c:pt idx="15">
                <c:v>0.2512573916683114</c:v>
              </c:pt>
              <c:pt idx="16">
                <c:v>0.25878498361888552</c:v>
              </c:pt>
              <c:pt idx="17">
                <c:v>0.27148965873883352</c:v>
              </c:pt>
              <c:pt idx="18">
                <c:v>0.32971829495337901</c:v>
              </c:pt>
              <c:pt idx="19">
                <c:v>0.37441004267349537</c:v>
              </c:pt>
              <c:pt idx="20">
                <c:v>0.48511854573987345</c:v>
              </c:pt>
              <c:pt idx="21">
                <c:v>0.49139015927971996</c:v>
              </c:pt>
              <c:pt idx="22">
                <c:v>0.56890367029915712</c:v>
              </c:pt>
              <c:pt idx="23">
                <c:v>0.82192652154712253</c:v>
              </c:pt>
              <c:pt idx="24">
                <c:v>0.92317580923414322</c:v>
              </c:pt>
              <c:pt idx="25">
                <c:v>1</c:v>
              </c:pt>
              <c:pt idx="26">
                <c:v>0.8719869141195673</c:v>
              </c:pt>
              <c:pt idx="27">
                <c:v>0.94717933704067503</c:v>
              </c:pt>
              <c:pt idx="28">
                <c:v>0.9033548571518325</c:v>
              </c:pt>
              <c:pt idx="29">
                <c:v>0.9033548571518325</c:v>
              </c:pt>
              <c:pt idx="30">
                <c:v>0.84489044751816711</c:v>
              </c:pt>
              <c:pt idx="31">
                <c:v>0.76558020251032399</c:v>
              </c:pt>
              <c:pt idx="32">
                <c:v>0.68571593517196994</c:v>
              </c:pt>
              <c:pt idx="33">
                <c:v>0.61260796073129842</c:v>
              </c:pt>
              <c:pt idx="34">
                <c:v>0.56228639385348189</c:v>
              </c:pt>
              <c:pt idx="35">
                <c:v>0.48825071273160747</c:v>
              </c:pt>
              <c:pt idx="36">
                <c:v>0.43299213207741449</c:v>
              </c:pt>
              <c:pt idx="37">
                <c:v>0.38300615184255898</c:v>
              </c:pt>
              <c:pt idx="38">
                <c:v>0.354617358718051</c:v>
              </c:pt>
              <c:pt idx="39">
                <c:v>0.32699007190733359</c:v>
              </c:pt>
              <c:pt idx="40">
                <c:v>0.30278358693697871</c:v>
              </c:pt>
              <c:pt idx="41">
                <c:v>0.28439163237458814</c:v>
              </c:pt>
              <c:pt idx="42">
                <c:v>0.27405430831258071</c:v>
              </c:pt>
              <c:pt idx="43">
                <c:v>0.26131007626464053</c:v>
              </c:pt>
              <c:pt idx="44">
                <c:v>0.2512573916683114</c:v>
              </c:pt>
              <c:pt idx="45">
                <c:v>0.24133224673129589</c:v>
              </c:pt>
              <c:pt idx="46">
                <c:v>0.23153529813504392</c:v>
              </c:pt>
              <c:pt idx="47">
                <c:v>0.22427211930929977</c:v>
              </c:pt>
              <c:pt idx="48">
                <c:v>0.21708171824284334</c:v>
              </c:pt>
              <c:pt idx="49">
                <c:v>0.21232869498820556</c:v>
              </c:pt>
              <c:pt idx="50">
                <c:v>0.2291061700881053</c:v>
              </c:pt>
              <c:pt idx="51">
                <c:v>0.20760823701941922</c:v>
              </c:pt>
              <c:pt idx="52">
                <c:v>0.20996438975679946</c:v>
              </c:pt>
              <c:pt idx="53">
                <c:v>0.20058880671922852</c:v>
              </c:pt>
              <c:pt idx="54">
                <c:v>0.19364315847653096</c:v>
              </c:pt>
              <c:pt idx="55">
                <c:v>0.18677160604747858</c:v>
              </c:pt>
              <c:pt idx="56">
                <c:v>0.18449760941252735</c:v>
              </c:pt>
              <c:pt idx="57">
                <c:v>0.17772535005318918</c:v>
              </c:pt>
              <c:pt idx="58">
                <c:v>0.17548454764910859</c:v>
              </c:pt>
              <c:pt idx="59">
                <c:v>0.17102794272805041</c:v>
              </c:pt>
              <c:pt idx="60">
                <c:v>0.16881216510523103</c:v>
              </c:pt>
              <c:pt idx="61">
                <c:v>0.16660475411090417</c:v>
              </c:pt>
              <c:pt idx="62">
                <c:v>0.16440572240455334</c:v>
              </c:pt>
              <c:pt idx="63">
                <c:v>0.16221508273248872</c:v>
              </c:pt>
              <c:pt idx="64">
                <c:v>0.15785903091700104</c:v>
              </c:pt>
              <c:pt idx="65">
                <c:v>0.15785903091700104</c:v>
              </c:pt>
              <c:pt idx="66">
                <c:v>0.15569364471000968</c:v>
              </c:pt>
              <c:pt idx="67">
                <c:v>0.1535367024123937</c:v>
              </c:pt>
              <c:pt idx="68">
                <c:v>0.15138821722095158</c:v>
              </c:pt>
              <c:pt idx="69">
                <c:v>0.1492482024259886</c:v>
              </c:pt>
              <c:pt idx="70">
                <c:v>0.14711667141250159</c:v>
              </c:pt>
              <c:pt idx="71">
                <c:v>0.14499363766138518</c:v>
              </c:pt>
              <c:pt idx="72">
                <c:v>0.14287911475066045</c:v>
              </c:pt>
              <c:pt idx="73">
                <c:v>0.14287911475066045</c:v>
              </c:pt>
              <c:pt idx="74">
                <c:v>0.14077311635672615</c:v>
              </c:pt>
              <c:pt idx="75">
                <c:v>0.13867565625563377</c:v>
              </c:pt>
              <c:pt idx="76">
                <c:v>0.13867565625563377</c:v>
              </c:pt>
              <c:pt idx="77">
                <c:v>0.13867565625563377</c:v>
              </c:pt>
              <c:pt idx="78">
                <c:v>0.13658674832438567</c:v>
              </c:pt>
              <c:pt idx="79">
                <c:v>0.13450640654225829</c:v>
              </c:pt>
              <c:pt idx="80">
                <c:v>0.13243464499215027</c:v>
              </c:pt>
              <c:pt idx="81">
                <c:v>0.13037147786195619</c:v>
              </c:pt>
              <c:pt idx="82">
                <c:v>0.13037147786195619</c:v>
              </c:pt>
              <c:pt idx="83">
                <c:v>0.13037147786195619</c:v>
              </c:pt>
              <c:pt idx="84">
                <c:v>0.13037147786195619</c:v>
              </c:pt>
              <c:pt idx="85">
                <c:v>0.12831691944596668</c:v>
              </c:pt>
              <c:pt idx="86">
                <c:v>0.12627098414629565</c:v>
              </c:pt>
              <c:pt idx="87">
                <c:v>0.12423368647433475</c:v>
              </c:pt>
              <c:pt idx="88">
                <c:v>0.12423368647433475</c:v>
              </c:pt>
              <c:pt idx="89">
                <c:v>0.12423368647433475</c:v>
              </c:pt>
              <c:pt idx="90">
                <c:v>0.12423368647433475</c:v>
              </c:pt>
              <c:pt idx="91">
                <c:v>0.1222050410522371</c:v>
              </c:pt>
              <c:pt idx="92">
                <c:v>0.12018506261442923</c:v>
              </c:pt>
              <c:pt idx="93">
                <c:v>0.12018506261442923</c:v>
              </c:pt>
              <c:pt idx="94">
                <c:v>0.12018506261442923</c:v>
              </c:pt>
              <c:pt idx="95">
                <c:v>0.11817376600915334</c:v>
              </c:pt>
              <c:pt idx="96">
                <c:v>0.11817376600915334</c:v>
              </c:pt>
              <c:pt idx="97">
                <c:v>0.11817376600915334</c:v>
              </c:pt>
              <c:pt idx="98">
                <c:v>0.12018506261442923</c:v>
              </c:pt>
              <c:pt idx="99">
                <c:v>0.1222050410522371</c:v>
              </c:pt>
              <c:pt idx="100">
                <c:v>0.12423368647433475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BC5A-46DC-8108-664D430B89BE}"/>
            </c:ext>
          </c:extLst>
        </c:ser>
        <c:ser>
          <c:idx val="1"/>
          <c:order val="1"/>
          <c:spPr>
            <a:ln w="31750">
              <a:solidFill>
                <a:sysClr val="windowText" lastClr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#N/A</c:v>
              </c:pt>
              <c:pt idx="1">
                <c:v>-0.27401129943502822</c:v>
              </c:pt>
              <c:pt idx="2">
                <c:v>-0.25988700564971751</c:v>
              </c:pt>
              <c:pt idx="3">
                <c:v>-0.24858757062146888</c:v>
              </c:pt>
              <c:pt idx="4">
                <c:v>0</c:v>
              </c:pt>
              <c:pt idx="5">
                <c:v>-0.23163841807909605</c:v>
              </c:pt>
              <c:pt idx="6">
                <c:v>-0.23728813559322037</c:v>
              </c:pt>
              <c:pt idx="7">
                <c:v>-0.24011299435028252</c:v>
              </c:pt>
              <c:pt idx="8">
                <c:v>-0.24293785310734467</c:v>
              </c:pt>
              <c:pt idx="9">
                <c:v>-0.22598870056497175</c:v>
              </c:pt>
              <c:pt idx="10">
                <c:v>-0.2231638418079096</c:v>
              </c:pt>
              <c:pt idx="11">
                <c:v>-0.21468926553672316</c:v>
              </c:pt>
              <c:pt idx="12">
                <c:v>-0.22033898305084745</c:v>
              </c:pt>
              <c:pt idx="13">
                <c:v>-0.28813559322033899</c:v>
              </c:pt>
              <c:pt idx="14">
                <c:v>-0.35875706214689268</c:v>
              </c:pt>
              <c:pt idx="15">
                <c:v>-0.36440677966101698</c:v>
              </c:pt>
              <c:pt idx="16">
                <c:v>-0.37288135593220334</c:v>
              </c:pt>
              <c:pt idx="17">
                <c:v>-0.38700564971751417</c:v>
              </c:pt>
              <c:pt idx="18">
                <c:v>-0.44915254237288132</c:v>
              </c:pt>
              <c:pt idx="19">
                <c:v>-0.4943502824858757</c:v>
              </c:pt>
              <c:pt idx="20">
                <c:v>-0.59887005649717517</c:v>
              </c:pt>
              <c:pt idx="21">
                <c:v>-0.60451977401129942</c:v>
              </c:pt>
              <c:pt idx="22">
                <c:v>-0.67231638418079087</c:v>
              </c:pt>
              <c:pt idx="23">
                <c:v>-0.8728813559322034</c:v>
              </c:pt>
              <c:pt idx="24">
                <c:v>-0.94632768361581909</c:v>
              </c:pt>
              <c:pt idx="25">
                <c:v>-1</c:v>
              </c:pt>
              <c:pt idx="26">
                <c:v>-0.90960451977401136</c:v>
              </c:pt>
              <c:pt idx="27">
                <c:v>-0.96327683615819215</c:v>
              </c:pt>
              <c:pt idx="28">
                <c:v>-0.93220338983050843</c:v>
              </c:pt>
              <c:pt idx="29">
                <c:v>-0.93220338983050843</c:v>
              </c:pt>
              <c:pt idx="30">
                <c:v>-0.88983050847457623</c:v>
              </c:pt>
              <c:pt idx="31">
                <c:v>-0.83050847457627119</c:v>
              </c:pt>
              <c:pt idx="32">
                <c:v>-0.76836158192090398</c:v>
              </c:pt>
              <c:pt idx="33">
                <c:v>-0.70903954802259883</c:v>
              </c:pt>
              <c:pt idx="34">
                <c:v>-0.66666666666666663</c:v>
              </c:pt>
              <c:pt idx="35">
                <c:v>-0.60169491525423724</c:v>
              </c:pt>
              <c:pt idx="36">
                <c:v>-0.55084745762711873</c:v>
              </c:pt>
              <c:pt idx="37">
                <c:v>-0.50282485875706207</c:v>
              </c:pt>
              <c:pt idx="38">
                <c:v>-0.47457627118644075</c:v>
              </c:pt>
              <c:pt idx="39">
                <c:v>-0.4463276836158192</c:v>
              </c:pt>
              <c:pt idx="40">
                <c:v>-0.42090395480225995</c:v>
              </c:pt>
              <c:pt idx="41">
                <c:v>-0.40112994350282483</c:v>
              </c:pt>
              <c:pt idx="42">
                <c:v>-0.38983050847457623</c:v>
              </c:pt>
              <c:pt idx="43">
                <c:v>-0.37570621468926557</c:v>
              </c:pt>
              <c:pt idx="44">
                <c:v>-0.36440677966101698</c:v>
              </c:pt>
              <c:pt idx="45">
                <c:v>-0.35310734463276838</c:v>
              </c:pt>
              <c:pt idx="46">
                <c:v>-0.34180790960451973</c:v>
              </c:pt>
              <c:pt idx="47">
                <c:v>-0.33333333333333331</c:v>
              </c:pt>
              <c:pt idx="48">
                <c:v>-0.32485875706214684</c:v>
              </c:pt>
              <c:pt idx="49">
                <c:v>-0.31920903954802254</c:v>
              </c:pt>
              <c:pt idx="50">
                <c:v>-0.33898305084745761</c:v>
              </c:pt>
              <c:pt idx="51">
                <c:v>-0.3135593220338983</c:v>
              </c:pt>
              <c:pt idx="52">
                <c:v>-0.31638418079096048</c:v>
              </c:pt>
              <c:pt idx="53">
                <c:v>-0.30508474576271188</c:v>
              </c:pt>
              <c:pt idx="54">
                <c:v>-0.29661016949152541</c:v>
              </c:pt>
              <c:pt idx="55">
                <c:v>-0.28813559322033899</c:v>
              </c:pt>
              <c:pt idx="56">
                <c:v>-0.28531073446327682</c:v>
              </c:pt>
              <c:pt idx="57">
                <c:v>-0.2768361581920904</c:v>
              </c:pt>
              <c:pt idx="58">
                <c:v>-0.27401129943502822</c:v>
              </c:pt>
              <c:pt idx="59">
                <c:v>-0.26836158192090392</c:v>
              </c:pt>
              <c:pt idx="60">
                <c:v>-0.2655367231638418</c:v>
              </c:pt>
              <c:pt idx="61">
                <c:v>-0.26271186440677963</c:v>
              </c:pt>
              <c:pt idx="62">
                <c:v>-0.25988700564971751</c:v>
              </c:pt>
              <c:pt idx="63">
                <c:v>-0.25706214689265533</c:v>
              </c:pt>
              <c:pt idx="64">
                <c:v>-0.25141242937853103</c:v>
              </c:pt>
              <c:pt idx="65">
                <c:v>-0.25141242937853103</c:v>
              </c:pt>
              <c:pt idx="66">
                <c:v>-0.24858757062146888</c:v>
              </c:pt>
              <c:pt idx="67">
                <c:v>-0.24576271186440682</c:v>
              </c:pt>
              <c:pt idx="68">
                <c:v>-0.24293785310734467</c:v>
              </c:pt>
              <c:pt idx="69">
                <c:v>-0.24011299435028252</c:v>
              </c:pt>
              <c:pt idx="70">
                <c:v>-0.23728813559322037</c:v>
              </c:pt>
              <c:pt idx="71">
                <c:v>-0.2344632768361582</c:v>
              </c:pt>
              <c:pt idx="72">
                <c:v>-0.23163841807909605</c:v>
              </c:pt>
              <c:pt idx="73">
                <c:v>-0.23163841807909605</c:v>
              </c:pt>
              <c:pt idx="74">
                <c:v>-0.2288135593220339</c:v>
              </c:pt>
              <c:pt idx="75">
                <c:v>-0.22598870056497175</c:v>
              </c:pt>
              <c:pt idx="76">
                <c:v>-0.22598870056497175</c:v>
              </c:pt>
              <c:pt idx="77">
                <c:v>-0.22598870056497175</c:v>
              </c:pt>
              <c:pt idx="78">
                <c:v>-0.2231638418079096</c:v>
              </c:pt>
              <c:pt idx="79">
                <c:v>-0.22033898305084745</c:v>
              </c:pt>
              <c:pt idx="80">
                <c:v>-0.2175141242937853</c:v>
              </c:pt>
              <c:pt idx="81">
                <c:v>-0.21468926553672316</c:v>
              </c:pt>
              <c:pt idx="82">
                <c:v>-0.21468926553672316</c:v>
              </c:pt>
              <c:pt idx="83">
                <c:v>-0.21468926553672316</c:v>
              </c:pt>
              <c:pt idx="84">
                <c:v>-0.21468926553672316</c:v>
              </c:pt>
              <c:pt idx="85">
                <c:v>-0.21186440677966101</c:v>
              </c:pt>
              <c:pt idx="86">
                <c:v>-0.20903954802259886</c:v>
              </c:pt>
              <c:pt idx="87">
                <c:v>-0.20621468926553671</c:v>
              </c:pt>
              <c:pt idx="88">
                <c:v>-0.20621468926553671</c:v>
              </c:pt>
              <c:pt idx="89">
                <c:v>-0.20621468926553671</c:v>
              </c:pt>
              <c:pt idx="90">
                <c:v>-0.20621468926553671</c:v>
              </c:pt>
              <c:pt idx="91">
                <c:v>-0.20338983050847456</c:v>
              </c:pt>
              <c:pt idx="92">
                <c:v>-0.20056497175141241</c:v>
              </c:pt>
              <c:pt idx="93">
                <c:v>-0.20056497175141241</c:v>
              </c:pt>
              <c:pt idx="94">
                <c:v>-0.20056497175141241</c:v>
              </c:pt>
              <c:pt idx="95">
                <c:v>-0.19774011299435026</c:v>
              </c:pt>
              <c:pt idx="96">
                <c:v>-0.19774011299435026</c:v>
              </c:pt>
              <c:pt idx="97">
                <c:v>-0.19774011299435026</c:v>
              </c:pt>
              <c:pt idx="98">
                <c:v>-0.20056497175141241</c:v>
              </c:pt>
              <c:pt idx="99">
                <c:v>-0.20338983050847456</c:v>
              </c:pt>
              <c:pt idx="100">
                <c:v>-0.20621468926553671</c:v>
              </c:pt>
            </c:numLit>
          </c:xVal>
          <c:yVal>
            <c:numLit>
              <c:formatCode>General</c:formatCode>
              <c:ptCount val="101"/>
              <c:pt idx="0">
                <c:v>#N/A</c:v>
              </c:pt>
              <c:pt idx="1">
                <c:v>0</c:v>
              </c:pt>
              <c:pt idx="2">
                <c:v>-1.0309196725878716E-2</c:v>
              </c:pt>
              <c:pt idx="3">
                <c:v>-2.0618393451757432E-2</c:v>
              </c:pt>
              <c:pt idx="4">
                <c:v>-3.092759017763615E-2</c:v>
              </c:pt>
              <c:pt idx="5">
                <c:v>-4.1236786903514865E-2</c:v>
              </c:pt>
              <c:pt idx="6">
                <c:v>-5.1545983629393582E-2</c:v>
              </c:pt>
              <c:pt idx="7">
                <c:v>-6.18551803552723E-2</c:v>
              </c:pt>
              <c:pt idx="8">
                <c:v>-7.2164377081151018E-2</c:v>
              </c:pt>
              <c:pt idx="9">
                <c:v>-8.2473573807029729E-2</c:v>
              </c:pt>
              <c:pt idx="10">
                <c:v>-9.2782770532908454E-2</c:v>
              </c:pt>
              <c:pt idx="11">
                <c:v>-0.10309196725878716</c:v>
              </c:pt>
              <c:pt idx="12">
                <c:v>-0.11340116398466588</c:v>
              </c:pt>
              <c:pt idx="13">
                <c:v>-0.1237103607105446</c:v>
              </c:pt>
              <c:pt idx="14">
                <c:v>-0.13401955743642333</c:v>
              </c:pt>
              <c:pt idx="15">
                <c:v>-0.14432875416230204</c:v>
              </c:pt>
              <c:pt idx="16">
                <c:v>-0.15463795088818075</c:v>
              </c:pt>
              <c:pt idx="17">
                <c:v>-0.16494714761405946</c:v>
              </c:pt>
              <c:pt idx="18">
                <c:v>-0.17525634433993817</c:v>
              </c:pt>
              <c:pt idx="19">
                <c:v>-0.18556554106581691</c:v>
              </c:pt>
              <c:pt idx="20">
                <c:v>-0.19587473779169562</c:v>
              </c:pt>
              <c:pt idx="21">
                <c:v>-0.20618393451757433</c:v>
              </c:pt>
              <c:pt idx="22">
                <c:v>-0.21649313124345304</c:v>
              </c:pt>
              <c:pt idx="23">
                <c:v>-0.22680232796933175</c:v>
              </c:pt>
              <c:pt idx="24">
                <c:v>-0.23711152469521049</c:v>
              </c:pt>
              <c:pt idx="25">
                <c:v>-0.2474207214210892</c:v>
              </c:pt>
              <c:pt idx="26">
                <c:v>-0.25772991814696788</c:v>
              </c:pt>
              <c:pt idx="27">
                <c:v>-0.26803911487284665</c:v>
              </c:pt>
              <c:pt idx="28">
                <c:v>-0.27834831159872536</c:v>
              </c:pt>
              <c:pt idx="29">
                <c:v>-0.28865750832460407</c:v>
              </c:pt>
              <c:pt idx="30">
                <c:v>-0.29896670505048278</c:v>
              </c:pt>
              <c:pt idx="31">
                <c:v>-0.30927590177636149</c:v>
              </c:pt>
              <c:pt idx="32">
                <c:v>-0.31958509850224021</c:v>
              </c:pt>
              <c:pt idx="33">
                <c:v>-0.32989429522811892</c:v>
              </c:pt>
              <c:pt idx="34">
                <c:v>-0.34020349195399763</c:v>
              </c:pt>
              <c:pt idx="35">
                <c:v>-0.35051268867987634</c:v>
              </c:pt>
              <c:pt idx="36">
                <c:v>-0.36082188540575505</c:v>
              </c:pt>
              <c:pt idx="37">
                <c:v>-0.37113108213163382</c:v>
              </c:pt>
              <c:pt idx="38">
                <c:v>-0.38144027885751253</c:v>
              </c:pt>
              <c:pt idx="39">
                <c:v>-0.39174947558339124</c:v>
              </c:pt>
              <c:pt idx="40">
                <c:v>-0.40205867230926995</c:v>
              </c:pt>
              <c:pt idx="41">
                <c:v>-0.41236786903514866</c:v>
              </c:pt>
              <c:pt idx="42">
                <c:v>-0.42267706576102737</c:v>
              </c:pt>
              <c:pt idx="43">
                <c:v>-0.43298626248690608</c:v>
              </c:pt>
              <c:pt idx="44">
                <c:v>-0.44329545921278479</c:v>
              </c:pt>
              <c:pt idx="45">
                <c:v>-0.4536046559386635</c:v>
              </c:pt>
              <c:pt idx="46">
                <c:v>-0.46391385266454221</c:v>
              </c:pt>
              <c:pt idx="47">
                <c:v>-0.47422304939042098</c:v>
              </c:pt>
              <c:pt idx="48">
                <c:v>-0.48453224611629969</c:v>
              </c:pt>
              <c:pt idx="49">
                <c:v>-0.4948414428421784</c:v>
              </c:pt>
              <c:pt idx="50">
                <c:v>-0.49484936043194289</c:v>
              </c:pt>
              <c:pt idx="51">
                <c:v>-0.50515063956805706</c:v>
              </c:pt>
              <c:pt idx="52">
                <c:v>-0.50515855715782165</c:v>
              </c:pt>
              <c:pt idx="53">
                <c:v>-0.51546775388370036</c:v>
              </c:pt>
              <c:pt idx="54">
                <c:v>-0.52577695060957907</c:v>
              </c:pt>
              <c:pt idx="55">
                <c:v>-0.53608614733545779</c:v>
              </c:pt>
              <c:pt idx="56">
                <c:v>-0.5463953440613365</c:v>
              </c:pt>
              <c:pt idx="57">
                <c:v>-0.55670454078721521</c:v>
              </c:pt>
              <c:pt idx="58">
                <c:v>-0.56701373751309392</c:v>
              </c:pt>
              <c:pt idx="59">
                <c:v>-0.57732293423897263</c:v>
              </c:pt>
              <c:pt idx="60">
                <c:v>-0.58763213096485134</c:v>
              </c:pt>
              <c:pt idx="61">
                <c:v>-0.59794132769073005</c:v>
              </c:pt>
              <c:pt idx="62">
                <c:v>-0.60825052441660876</c:v>
              </c:pt>
              <c:pt idx="63">
                <c:v>-0.61855972114248747</c:v>
              </c:pt>
              <c:pt idx="64">
                <c:v>-0.62886891786836618</c:v>
              </c:pt>
              <c:pt idx="65">
                <c:v>-0.63917811459424489</c:v>
              </c:pt>
              <c:pt idx="66">
                <c:v>-0.64948731132012361</c:v>
              </c:pt>
              <c:pt idx="67">
                <c:v>-0.65979650804600232</c:v>
              </c:pt>
              <c:pt idx="68">
                <c:v>-0.67010570477188103</c:v>
              </c:pt>
              <c:pt idx="69">
                <c:v>-0.68041490149775974</c:v>
              </c:pt>
              <c:pt idx="70">
                <c:v>-0.69072409822363856</c:v>
              </c:pt>
              <c:pt idx="71">
                <c:v>-0.70103329494951727</c:v>
              </c:pt>
              <c:pt idx="72">
                <c:v>-0.71134249167539598</c:v>
              </c:pt>
              <c:pt idx="73">
                <c:v>-0.72165168840127469</c:v>
              </c:pt>
              <c:pt idx="74">
                <c:v>-0.7319608851271534</c:v>
              </c:pt>
              <c:pt idx="75">
                <c:v>-0.74227008185303212</c:v>
              </c:pt>
              <c:pt idx="76">
                <c:v>-0.75257927857891083</c:v>
              </c:pt>
              <c:pt idx="77">
                <c:v>-0.76288847530478954</c:v>
              </c:pt>
              <c:pt idx="78">
                <c:v>-0.77319767203066825</c:v>
              </c:pt>
              <c:pt idx="79">
                <c:v>-0.78350686875654696</c:v>
              </c:pt>
              <c:pt idx="80">
                <c:v>-0.79381606548242567</c:v>
              </c:pt>
              <c:pt idx="81">
                <c:v>-0.80412526220830438</c:v>
              </c:pt>
              <c:pt idx="82">
                <c:v>-0.81443445893418309</c:v>
              </c:pt>
              <c:pt idx="83">
                <c:v>-0.8247436556600618</c:v>
              </c:pt>
              <c:pt idx="84">
                <c:v>-0.83505285238594051</c:v>
              </c:pt>
              <c:pt idx="85">
                <c:v>-0.84536204911181922</c:v>
              </c:pt>
              <c:pt idx="86">
                <c:v>-0.85567124583769794</c:v>
              </c:pt>
              <c:pt idx="87">
                <c:v>-0.86598044256357665</c:v>
              </c:pt>
              <c:pt idx="88">
                <c:v>-0.87628963928945536</c:v>
              </c:pt>
              <c:pt idx="89">
                <c:v>-0.88659883601533407</c:v>
              </c:pt>
              <c:pt idx="90">
                <c:v>-0.89690803274121289</c:v>
              </c:pt>
              <c:pt idx="91">
                <c:v>-0.9072172294670916</c:v>
              </c:pt>
              <c:pt idx="92">
                <c:v>-0.91752642619297031</c:v>
              </c:pt>
              <c:pt idx="93">
                <c:v>-0.92783562291884902</c:v>
              </c:pt>
              <c:pt idx="94">
                <c:v>-0.93814481964472773</c:v>
              </c:pt>
              <c:pt idx="95">
                <c:v>-0.94845401637060645</c:v>
              </c:pt>
              <c:pt idx="96">
                <c:v>-0.95876321309648516</c:v>
              </c:pt>
              <c:pt idx="97">
                <c:v>-0.96907240982236387</c:v>
              </c:pt>
              <c:pt idx="98">
                <c:v>-0.97938160654824258</c:v>
              </c:pt>
              <c:pt idx="99">
                <c:v>-0.98969080327412129</c:v>
              </c:pt>
              <c:pt idx="100">
                <c:v>-1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BC5A-46DC-8108-664D430B89BE}"/>
            </c:ext>
          </c:extLst>
        </c:ser>
        <c:ser>
          <c:idx val="2"/>
          <c:order val="2"/>
          <c:spPr>
            <a:ln w="3175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#N/A</c:v>
              </c:pt>
              <c:pt idx="1">
                <c:v>-0.27401129943502822</c:v>
              </c:pt>
              <c:pt idx="2">
                <c:v>-0.25988700564971751</c:v>
              </c:pt>
              <c:pt idx="3">
                <c:v>-0.24858757062146888</c:v>
              </c:pt>
              <c:pt idx="4">
                <c:v>0</c:v>
              </c:pt>
              <c:pt idx="5">
                <c:v>-0.23163841807909605</c:v>
              </c:pt>
              <c:pt idx="6">
                <c:v>-0.23728813559322037</c:v>
              </c:pt>
              <c:pt idx="7">
                <c:v>-0.24011299435028252</c:v>
              </c:pt>
              <c:pt idx="8">
                <c:v>-0.24293785310734467</c:v>
              </c:pt>
              <c:pt idx="9">
                <c:v>-0.22598870056497175</c:v>
              </c:pt>
              <c:pt idx="10">
                <c:v>-0.2231638418079096</c:v>
              </c:pt>
              <c:pt idx="11">
                <c:v>-0.21468926553672316</c:v>
              </c:pt>
              <c:pt idx="12">
                <c:v>-0.22033898305084745</c:v>
              </c:pt>
              <c:pt idx="13">
                <c:v>-0.28813559322033899</c:v>
              </c:pt>
              <c:pt idx="14">
                <c:v>-0.35875706214689268</c:v>
              </c:pt>
              <c:pt idx="15">
                <c:v>-0.36440677966101698</c:v>
              </c:pt>
              <c:pt idx="16">
                <c:v>-0.37288135593220334</c:v>
              </c:pt>
              <c:pt idx="17">
                <c:v>-0.38700564971751417</c:v>
              </c:pt>
              <c:pt idx="18">
                <c:v>-0.44915254237288132</c:v>
              </c:pt>
              <c:pt idx="19">
                <c:v>-0.4943502824858757</c:v>
              </c:pt>
              <c:pt idx="20">
                <c:v>-0.59887005649717517</c:v>
              </c:pt>
              <c:pt idx="21">
                <c:v>-0.60451977401129942</c:v>
              </c:pt>
              <c:pt idx="22">
                <c:v>-0.67231638418079087</c:v>
              </c:pt>
              <c:pt idx="23">
                <c:v>-0.8728813559322034</c:v>
              </c:pt>
              <c:pt idx="24">
                <c:v>-0.94632768361581909</c:v>
              </c:pt>
              <c:pt idx="25">
                <c:v>-1</c:v>
              </c:pt>
              <c:pt idx="26">
                <c:v>-0.90960451977401136</c:v>
              </c:pt>
              <c:pt idx="27">
                <c:v>-0.96327683615819215</c:v>
              </c:pt>
              <c:pt idx="28">
                <c:v>-0.93220338983050843</c:v>
              </c:pt>
              <c:pt idx="29">
                <c:v>-0.93220338983050843</c:v>
              </c:pt>
              <c:pt idx="30">
                <c:v>-0.88983050847457623</c:v>
              </c:pt>
              <c:pt idx="31">
                <c:v>-0.83050847457627119</c:v>
              </c:pt>
              <c:pt idx="32">
                <c:v>-0.76836158192090398</c:v>
              </c:pt>
              <c:pt idx="33">
                <c:v>-0.70903954802259883</c:v>
              </c:pt>
              <c:pt idx="34">
                <c:v>-0.66666666666666663</c:v>
              </c:pt>
              <c:pt idx="35">
                <c:v>-0.60169491525423724</c:v>
              </c:pt>
              <c:pt idx="36">
                <c:v>-0.55084745762711873</c:v>
              </c:pt>
              <c:pt idx="37">
                <c:v>-0.50282485875706207</c:v>
              </c:pt>
              <c:pt idx="38">
                <c:v>-0.47457627118644075</c:v>
              </c:pt>
              <c:pt idx="39">
                <c:v>-0.4463276836158192</c:v>
              </c:pt>
              <c:pt idx="40">
                <c:v>-0.42090395480225995</c:v>
              </c:pt>
              <c:pt idx="41">
                <c:v>-0.40112994350282483</c:v>
              </c:pt>
              <c:pt idx="42">
                <c:v>-0.38983050847457623</c:v>
              </c:pt>
              <c:pt idx="43">
                <c:v>-0.37570621468926557</c:v>
              </c:pt>
              <c:pt idx="44">
                <c:v>-0.36440677966101698</c:v>
              </c:pt>
              <c:pt idx="45">
                <c:v>-0.35310734463276838</c:v>
              </c:pt>
              <c:pt idx="46">
                <c:v>-0.34180790960451973</c:v>
              </c:pt>
              <c:pt idx="47">
                <c:v>-0.33333333333333331</c:v>
              </c:pt>
              <c:pt idx="48">
                <c:v>-0.32485875706214684</c:v>
              </c:pt>
              <c:pt idx="49">
                <c:v>-0.31920903954802254</c:v>
              </c:pt>
              <c:pt idx="50">
                <c:v>-0.33898305084745761</c:v>
              </c:pt>
              <c:pt idx="51">
                <c:v>-0.3135593220338983</c:v>
              </c:pt>
              <c:pt idx="52">
                <c:v>-0.31638418079096048</c:v>
              </c:pt>
              <c:pt idx="53">
                <c:v>-0.30508474576271188</c:v>
              </c:pt>
              <c:pt idx="54">
                <c:v>-0.29661016949152541</c:v>
              </c:pt>
              <c:pt idx="55">
                <c:v>-0.28813559322033899</c:v>
              </c:pt>
              <c:pt idx="56">
                <c:v>-0.28531073446327682</c:v>
              </c:pt>
              <c:pt idx="57">
                <c:v>-0.2768361581920904</c:v>
              </c:pt>
              <c:pt idx="58">
                <c:v>-0.27401129943502822</c:v>
              </c:pt>
              <c:pt idx="59">
                <c:v>-0.26836158192090392</c:v>
              </c:pt>
              <c:pt idx="60">
                <c:v>-0.2655367231638418</c:v>
              </c:pt>
              <c:pt idx="61">
                <c:v>-0.26271186440677963</c:v>
              </c:pt>
              <c:pt idx="62">
                <c:v>-0.25988700564971751</c:v>
              </c:pt>
              <c:pt idx="63">
                <c:v>-0.25706214689265533</c:v>
              </c:pt>
              <c:pt idx="64">
                <c:v>-0.25141242937853103</c:v>
              </c:pt>
              <c:pt idx="65">
                <c:v>-0.25141242937853103</c:v>
              </c:pt>
              <c:pt idx="66">
                <c:v>-0.24858757062146888</c:v>
              </c:pt>
              <c:pt idx="67">
                <c:v>-0.24576271186440682</c:v>
              </c:pt>
              <c:pt idx="68">
                <c:v>-0.24293785310734467</c:v>
              </c:pt>
              <c:pt idx="69">
                <c:v>-0.24011299435028252</c:v>
              </c:pt>
              <c:pt idx="70">
                <c:v>-0.23728813559322037</c:v>
              </c:pt>
              <c:pt idx="71">
                <c:v>-0.2344632768361582</c:v>
              </c:pt>
              <c:pt idx="72">
                <c:v>-0.23163841807909605</c:v>
              </c:pt>
              <c:pt idx="73">
                <c:v>-0.23163841807909605</c:v>
              </c:pt>
              <c:pt idx="74">
                <c:v>-0.2288135593220339</c:v>
              </c:pt>
              <c:pt idx="75">
                <c:v>-0.22598870056497175</c:v>
              </c:pt>
              <c:pt idx="76">
                <c:v>-0.22598870056497175</c:v>
              </c:pt>
              <c:pt idx="77">
                <c:v>-0.22598870056497175</c:v>
              </c:pt>
              <c:pt idx="78">
                <c:v>-0.2231638418079096</c:v>
              </c:pt>
              <c:pt idx="79">
                <c:v>-0.22033898305084745</c:v>
              </c:pt>
              <c:pt idx="80">
                <c:v>-0.2175141242937853</c:v>
              </c:pt>
              <c:pt idx="81">
                <c:v>-0.21468926553672316</c:v>
              </c:pt>
              <c:pt idx="82">
                <c:v>-0.21468926553672316</c:v>
              </c:pt>
              <c:pt idx="83">
                <c:v>-0.21468926553672316</c:v>
              </c:pt>
              <c:pt idx="84">
                <c:v>-0.21468926553672316</c:v>
              </c:pt>
              <c:pt idx="85">
                <c:v>-0.21186440677966101</c:v>
              </c:pt>
              <c:pt idx="86">
                <c:v>-0.20903954802259886</c:v>
              </c:pt>
              <c:pt idx="87">
                <c:v>-0.20621468926553671</c:v>
              </c:pt>
              <c:pt idx="88">
                <c:v>-0.20621468926553671</c:v>
              </c:pt>
              <c:pt idx="89">
                <c:v>-0.20621468926553671</c:v>
              </c:pt>
              <c:pt idx="90">
                <c:v>-0.20621468926553671</c:v>
              </c:pt>
              <c:pt idx="91">
                <c:v>-0.20338983050847456</c:v>
              </c:pt>
              <c:pt idx="92">
                <c:v>-0.20056497175141241</c:v>
              </c:pt>
              <c:pt idx="93">
                <c:v>-0.20056497175141241</c:v>
              </c:pt>
              <c:pt idx="94">
                <c:v>-0.20056497175141241</c:v>
              </c:pt>
              <c:pt idx="95">
                <c:v>-0.19774011299435026</c:v>
              </c:pt>
              <c:pt idx="96">
                <c:v>-0.19774011299435026</c:v>
              </c:pt>
              <c:pt idx="97">
                <c:v>-0.19774011299435026</c:v>
              </c:pt>
              <c:pt idx="98">
                <c:v>-0.20056497175141241</c:v>
              </c:pt>
              <c:pt idx="99">
                <c:v>-0.20338983050847456</c:v>
              </c:pt>
              <c:pt idx="100">
                <c:v>-0.20621468926553671</c:v>
              </c:pt>
            </c:numLit>
          </c:xVal>
          <c:yVal>
            <c:numLit>
              <c:formatCode>General</c:formatCode>
              <c:ptCount val="101"/>
              <c:pt idx="0">
                <c:v>#N/A</c:v>
              </c:pt>
              <c:pt idx="1">
                <c:v>0.17548454764910859</c:v>
              </c:pt>
              <c:pt idx="2">
                <c:v>0.16440572240455334</c:v>
              </c:pt>
              <c:pt idx="3">
                <c:v>0.15569364471000968</c:v>
              </c:pt>
              <c:pt idx="4">
                <c:v>0</c:v>
              </c:pt>
              <c:pt idx="5">
                <c:v>0.14287911475066045</c:v>
              </c:pt>
              <c:pt idx="6">
                <c:v>0.14711667141250159</c:v>
              </c:pt>
              <c:pt idx="7">
                <c:v>0.1492482024259886</c:v>
              </c:pt>
              <c:pt idx="8">
                <c:v>0.15138821722095158</c:v>
              </c:pt>
              <c:pt idx="9">
                <c:v>0.13867565625563377</c:v>
              </c:pt>
              <c:pt idx="10">
                <c:v>0.13658674832438567</c:v>
              </c:pt>
              <c:pt idx="11">
                <c:v>0.13037147786195619</c:v>
              </c:pt>
              <c:pt idx="12">
                <c:v>0.13450640654225829</c:v>
              </c:pt>
              <c:pt idx="13">
                <c:v>0.18677160604747858</c:v>
              </c:pt>
              <c:pt idx="14">
                <c:v>0.24627883605617826</c:v>
              </c:pt>
              <c:pt idx="15">
                <c:v>0.2512573916683114</c:v>
              </c:pt>
              <c:pt idx="16">
                <c:v>0.25878498361888552</c:v>
              </c:pt>
              <c:pt idx="17">
                <c:v>0.27148965873883352</c:v>
              </c:pt>
              <c:pt idx="18">
                <c:v>0.32971829495337901</c:v>
              </c:pt>
              <c:pt idx="19">
                <c:v>0.37441004267349537</c:v>
              </c:pt>
              <c:pt idx="20">
                <c:v>0.48511854573987345</c:v>
              </c:pt>
              <c:pt idx="21">
                <c:v>0.49139015927971996</c:v>
              </c:pt>
              <c:pt idx="22">
                <c:v>0.56890367029915712</c:v>
              </c:pt>
              <c:pt idx="23">
                <c:v>0.82192652154712253</c:v>
              </c:pt>
              <c:pt idx="24">
                <c:v>0.92317580923414322</c:v>
              </c:pt>
              <c:pt idx="25">
                <c:v>1</c:v>
              </c:pt>
              <c:pt idx="26">
                <c:v>0.8719869141195673</c:v>
              </c:pt>
              <c:pt idx="27">
                <c:v>0.94717933704067503</c:v>
              </c:pt>
              <c:pt idx="28">
                <c:v>0.9033548571518325</c:v>
              </c:pt>
              <c:pt idx="29">
                <c:v>0.9033548571518325</c:v>
              </c:pt>
              <c:pt idx="30">
                <c:v>0.84489044751816711</c:v>
              </c:pt>
              <c:pt idx="31">
                <c:v>0.76558020251032399</c:v>
              </c:pt>
              <c:pt idx="32">
                <c:v>0.68571593517196994</c:v>
              </c:pt>
              <c:pt idx="33">
                <c:v>0.61260796073129842</c:v>
              </c:pt>
              <c:pt idx="34">
                <c:v>0.56228639385348189</c:v>
              </c:pt>
              <c:pt idx="35">
                <c:v>0.48825071273160747</c:v>
              </c:pt>
              <c:pt idx="36">
                <c:v>0.43299213207741449</c:v>
              </c:pt>
              <c:pt idx="37">
                <c:v>0.38300615184255898</c:v>
              </c:pt>
              <c:pt idx="38">
                <c:v>0.354617358718051</c:v>
              </c:pt>
              <c:pt idx="39">
                <c:v>0.32699007190733359</c:v>
              </c:pt>
              <c:pt idx="40">
                <c:v>0.30278358693697871</c:v>
              </c:pt>
              <c:pt idx="41">
                <c:v>0.28439163237458814</c:v>
              </c:pt>
              <c:pt idx="42">
                <c:v>0.27405430831258071</c:v>
              </c:pt>
              <c:pt idx="43">
                <c:v>0.26131007626464053</c:v>
              </c:pt>
              <c:pt idx="44">
                <c:v>0.2512573916683114</c:v>
              </c:pt>
              <c:pt idx="45">
                <c:v>0.24133224673129589</c:v>
              </c:pt>
              <c:pt idx="46">
                <c:v>0.23153529813504392</c:v>
              </c:pt>
              <c:pt idx="47">
                <c:v>0.22427211930929977</c:v>
              </c:pt>
              <c:pt idx="48">
                <c:v>0.21708171824284334</c:v>
              </c:pt>
              <c:pt idx="49">
                <c:v>0.21232869498820556</c:v>
              </c:pt>
              <c:pt idx="50">
                <c:v>0.2291061700881053</c:v>
              </c:pt>
              <c:pt idx="51">
                <c:v>0.20760823701941922</c:v>
              </c:pt>
              <c:pt idx="52">
                <c:v>0.20996438975679946</c:v>
              </c:pt>
              <c:pt idx="53">
                <c:v>0.20058880671922852</c:v>
              </c:pt>
              <c:pt idx="54">
                <c:v>0.19364315847653096</c:v>
              </c:pt>
              <c:pt idx="55">
                <c:v>0.18677160604747858</c:v>
              </c:pt>
              <c:pt idx="56">
                <c:v>0.18449760941252735</c:v>
              </c:pt>
              <c:pt idx="57">
                <c:v>0.17772535005318918</c:v>
              </c:pt>
              <c:pt idx="58">
                <c:v>0.17548454764910859</c:v>
              </c:pt>
              <c:pt idx="59">
                <c:v>0.17102794272805041</c:v>
              </c:pt>
              <c:pt idx="60">
                <c:v>0.16881216510523103</c:v>
              </c:pt>
              <c:pt idx="61">
                <c:v>0.16660475411090417</c:v>
              </c:pt>
              <c:pt idx="62">
                <c:v>0.16440572240455334</c:v>
              </c:pt>
              <c:pt idx="63">
                <c:v>0.16221508273248872</c:v>
              </c:pt>
              <c:pt idx="64">
                <c:v>0.15785903091700104</c:v>
              </c:pt>
              <c:pt idx="65">
                <c:v>0.15785903091700104</c:v>
              </c:pt>
              <c:pt idx="66">
                <c:v>0.15569364471000968</c:v>
              </c:pt>
              <c:pt idx="67">
                <c:v>0.1535367024123937</c:v>
              </c:pt>
              <c:pt idx="68">
                <c:v>0.15138821722095158</c:v>
              </c:pt>
              <c:pt idx="69">
                <c:v>0.1492482024259886</c:v>
              </c:pt>
              <c:pt idx="70">
                <c:v>0.14711667141250159</c:v>
              </c:pt>
              <c:pt idx="71">
                <c:v>0.14499363766138518</c:v>
              </c:pt>
              <c:pt idx="72">
                <c:v>0.14287911475066045</c:v>
              </c:pt>
              <c:pt idx="73">
                <c:v>0.14287911475066045</c:v>
              </c:pt>
              <c:pt idx="74">
                <c:v>0.14077311635672615</c:v>
              </c:pt>
              <c:pt idx="75">
                <c:v>0.13867565625563377</c:v>
              </c:pt>
              <c:pt idx="76">
                <c:v>0.13867565625563377</c:v>
              </c:pt>
              <c:pt idx="77">
                <c:v>0.13867565625563377</c:v>
              </c:pt>
              <c:pt idx="78">
                <c:v>0.13658674832438567</c:v>
              </c:pt>
              <c:pt idx="79">
                <c:v>0.13450640654225829</c:v>
              </c:pt>
              <c:pt idx="80">
                <c:v>0.13243464499215027</c:v>
              </c:pt>
              <c:pt idx="81">
                <c:v>0.13037147786195619</c:v>
              </c:pt>
              <c:pt idx="82">
                <c:v>0.13037147786195619</c:v>
              </c:pt>
              <c:pt idx="83">
                <c:v>0.13037147786195619</c:v>
              </c:pt>
              <c:pt idx="84">
                <c:v>0.13037147786195619</c:v>
              </c:pt>
              <c:pt idx="85">
                <c:v>0.12831691944596668</c:v>
              </c:pt>
              <c:pt idx="86">
                <c:v>0.12627098414629565</c:v>
              </c:pt>
              <c:pt idx="87">
                <c:v>0.12423368647433475</c:v>
              </c:pt>
              <c:pt idx="88">
                <c:v>0.12423368647433475</c:v>
              </c:pt>
              <c:pt idx="89">
                <c:v>0.12423368647433475</c:v>
              </c:pt>
              <c:pt idx="90">
                <c:v>0.12423368647433475</c:v>
              </c:pt>
              <c:pt idx="91">
                <c:v>0.1222050410522371</c:v>
              </c:pt>
              <c:pt idx="92">
                <c:v>0.12018506261442923</c:v>
              </c:pt>
              <c:pt idx="93">
                <c:v>0.12018506261442923</c:v>
              </c:pt>
              <c:pt idx="94">
                <c:v>0.12018506261442923</c:v>
              </c:pt>
              <c:pt idx="95">
                <c:v>0.11817376600915334</c:v>
              </c:pt>
              <c:pt idx="96">
                <c:v>0.11817376600915334</c:v>
              </c:pt>
              <c:pt idx="97">
                <c:v>0.11817376600915334</c:v>
              </c:pt>
              <c:pt idx="98">
                <c:v>0.12018506261442923</c:v>
              </c:pt>
              <c:pt idx="99">
                <c:v>0.1222050410522371</c:v>
              </c:pt>
              <c:pt idx="100">
                <c:v>0.12423368647433475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BC5A-46DC-8108-664D430B89BE}"/>
            </c:ext>
          </c:extLst>
        </c:ser>
        <c:ser>
          <c:idx val="3"/>
          <c:order val="3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-1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BC5A-46DC-8108-664D430B89BE}"/>
            </c:ext>
          </c:extLst>
        </c:ser>
        <c:ser>
          <c:idx val="4"/>
          <c:order val="4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-0.57909604519774005</c:v>
              </c:pt>
              <c:pt idx="1">
                <c:v>-0.57909604519774005</c:v>
              </c:pt>
            </c:numLit>
          </c:xVal>
          <c:yVal>
            <c:numLit>
              <c:formatCode>General</c:formatCode>
              <c:ptCount val="2"/>
              <c:pt idx="0">
                <c:v>-1</c:v>
              </c:pt>
              <c:pt idx="1">
                <c:v>0.4633977749752381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BC5A-46DC-8108-664D430B89BE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-0.80614406779660996</c:v>
              </c:pt>
              <c:pt idx="1">
                <c:v>-0.80614406779660996</c:v>
              </c:pt>
            </c:numLit>
          </c:xVal>
          <c:yVal>
            <c:numLit>
              <c:formatCode>General</c:formatCode>
              <c:ptCount val="2"/>
              <c:pt idx="0">
                <c:v>-1</c:v>
              </c:pt>
              <c:pt idx="1">
                <c:v>0.73387392839515719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BC5A-46DC-8108-664D430B89BE}"/>
            </c:ext>
          </c:extLst>
        </c:ser>
        <c:ser>
          <c:idx val="6"/>
          <c:order val="6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-0.57909604519774005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0.4633977749752381</c:v>
              </c:pt>
              <c:pt idx="1">
                <c:v>0.4633977749752381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BC5A-46DC-8108-664D430B89BE}"/>
            </c:ext>
          </c:extLst>
        </c:ser>
        <c:ser>
          <c:idx val="7"/>
          <c:order val="7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-0.80614406779660996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0.73387392839515719</c:v>
              </c:pt>
              <c:pt idx="1">
                <c:v>0.73387392839515719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BC5A-46DC-8108-664D430B89BE}"/>
            </c:ext>
          </c:extLst>
        </c:ser>
        <c:ser>
          <c:idx val="8"/>
          <c:order val="8"/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3"/>
              <c:pt idx="0">
                <c:v>0.2</c:v>
              </c:pt>
              <c:pt idx="1">
                <c:v>0.2</c:v>
              </c:pt>
              <c:pt idx="2">
                <c:v>0.2</c:v>
              </c:pt>
            </c:numLit>
          </c:xVal>
          <c:yVal>
            <c:numLit>
              <c:formatCode>General</c:formatCode>
              <c:ptCount val="3"/>
              <c:pt idx="0">
                <c:v>0.4633977749752381</c:v>
              </c:pt>
              <c:pt idx="1">
                <c:v>0.73387392839515719</c:v>
              </c:pt>
              <c:pt idx="2">
                <c:v>-0.2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BC5A-46DC-8108-664D430B89BE}"/>
            </c:ext>
          </c:extLst>
        </c:ser>
        <c:ser>
          <c:idx val="9"/>
          <c:order val="9"/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3"/>
              <c:pt idx="0">
                <c:v>0.35</c:v>
              </c:pt>
              <c:pt idx="1">
                <c:v>0.35</c:v>
              </c:pt>
              <c:pt idx="2">
                <c:v>0.35</c:v>
              </c:pt>
            </c:numLit>
          </c:xVal>
          <c:yVal>
            <c:numLit>
              <c:formatCode>General</c:formatCode>
              <c:ptCount val="3"/>
              <c:pt idx="0">
                <c:v>0.4633977749752381</c:v>
              </c:pt>
              <c:pt idx="1">
                <c:v>0.73387392839515719</c:v>
              </c:pt>
              <c:pt idx="2">
                <c:v>-0.2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BC5A-46DC-8108-664D430B89BE}"/>
            </c:ext>
          </c:extLst>
        </c:ser>
        <c:ser>
          <c:idx val="10"/>
          <c:order val="10"/>
          <c:spPr>
            <a:ln w="2540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0.2</c:v>
              </c:pt>
              <c:pt idx="1">
                <c:v>0.35</c:v>
              </c:pt>
            </c:numLit>
          </c:xVal>
          <c:yVal>
            <c:numLit>
              <c:formatCode>General</c:formatCode>
              <c:ptCount val="2"/>
              <c:pt idx="0">
                <c:v>-0.2</c:v>
              </c:pt>
              <c:pt idx="1">
                <c:v>-0.2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BC5A-46DC-8108-664D430B89BE}"/>
            </c:ext>
          </c:extLst>
        </c:ser>
        <c:ser>
          <c:idx val="11"/>
          <c:order val="11"/>
          <c:marker>
            <c:symbol val="none"/>
          </c:marker>
          <c:xVal>
            <c:numLit>
              <c:formatCode>General</c:formatCode>
              <c:ptCount val="36"/>
              <c:pt idx="0">
                <c:v>#N/A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0.20618393451757433</c:v>
              </c:pt>
              <c:pt idx="22">
                <c:v>0.21649313124345304</c:v>
              </c:pt>
              <c:pt idx="23">
                <c:v>0.22680232796933175</c:v>
              </c:pt>
              <c:pt idx="24">
                <c:v>0.23711152469521049</c:v>
              </c:pt>
              <c:pt idx="25">
                <c:v>0.2474207214210892</c:v>
              </c:pt>
              <c:pt idx="26">
                <c:v>0.25772991814696788</c:v>
              </c:pt>
              <c:pt idx="27">
                <c:v>0.26803911487284665</c:v>
              </c:pt>
              <c:pt idx="28">
                <c:v>0.27834831159872536</c:v>
              </c:pt>
              <c:pt idx="29">
                <c:v>0.28865750832460407</c:v>
              </c:pt>
              <c:pt idx="30">
                <c:v>0.29896670505048278</c:v>
              </c:pt>
              <c:pt idx="31">
                <c:v>0.30927590177636149</c:v>
              </c:pt>
              <c:pt idx="32">
                <c:v>0.31958509850224021</c:v>
              </c:pt>
              <c:pt idx="33">
                <c:v>0.32989429522811892</c:v>
              </c:pt>
              <c:pt idx="34">
                <c:v>0.34020349195399763</c:v>
              </c:pt>
              <c:pt idx="35">
                <c:v>0.35051268867987634</c:v>
              </c:pt>
            </c:numLit>
          </c:xVal>
          <c:yVal>
            <c:numLit>
              <c:formatCode>General</c:formatCode>
              <c:ptCount val="36"/>
              <c:pt idx="0">
                <c:v>#N/A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0.49139015927971996</c:v>
              </c:pt>
              <c:pt idx="22">
                <c:v>0.56890367029915712</c:v>
              </c:pt>
              <c:pt idx="23">
                <c:v>0.82192652154712253</c:v>
              </c:pt>
              <c:pt idx="24">
                <c:v>0.92317580923414322</c:v>
              </c:pt>
              <c:pt idx="25">
                <c:v>1</c:v>
              </c:pt>
              <c:pt idx="26">
                <c:v>0.8719869141195673</c:v>
              </c:pt>
              <c:pt idx="27">
                <c:v>0.94717933704067503</c:v>
              </c:pt>
              <c:pt idx="28">
                <c:v>0.9033548571518325</c:v>
              </c:pt>
              <c:pt idx="29">
                <c:v>0.9033548571518325</c:v>
              </c:pt>
              <c:pt idx="30">
                <c:v>0.84489044751816711</c:v>
              </c:pt>
              <c:pt idx="31">
                <c:v>0.76558020251032399</c:v>
              </c:pt>
              <c:pt idx="32">
                <c:v>0.68571593517196994</c:v>
              </c:pt>
              <c:pt idx="33">
                <c:v>0.61260796073129842</c:v>
              </c:pt>
              <c:pt idx="34">
                <c:v>0.56228639385348189</c:v>
              </c:pt>
              <c:pt idx="35">
                <c:v>0.48825071273160747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BC5A-46DC-8108-664D430B89BE}"/>
            </c:ext>
          </c:extLst>
        </c:ser>
        <c:ser>
          <c:idx val="12"/>
          <c:order val="12"/>
          <c:spPr>
            <a:ln w="31750">
              <a:noFill/>
            </a:ln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#N/A</c:v>
              </c:pt>
              <c:pt idx="1">
                <c:v>-0.27401129943502822</c:v>
              </c:pt>
              <c:pt idx="2">
                <c:v>-0.25988700564971751</c:v>
              </c:pt>
              <c:pt idx="3">
                <c:v>-0.24858757062146888</c:v>
              </c:pt>
              <c:pt idx="4">
                <c:v>0</c:v>
              </c:pt>
              <c:pt idx="5">
                <c:v>-0.23163841807909605</c:v>
              </c:pt>
              <c:pt idx="6">
                <c:v>-0.23728813559322037</c:v>
              </c:pt>
              <c:pt idx="7">
                <c:v>-0.24011299435028252</c:v>
              </c:pt>
              <c:pt idx="8">
                <c:v>-0.24293785310734467</c:v>
              </c:pt>
              <c:pt idx="9">
                <c:v>-0.22598870056497175</c:v>
              </c:pt>
              <c:pt idx="10">
                <c:v>-0.2231638418079096</c:v>
              </c:pt>
              <c:pt idx="11">
                <c:v>-0.21468926553672316</c:v>
              </c:pt>
              <c:pt idx="12">
                <c:v>-0.22033898305084745</c:v>
              </c:pt>
              <c:pt idx="13">
                <c:v>-0.28813559322033899</c:v>
              </c:pt>
              <c:pt idx="14">
                <c:v>-0.35875706214689268</c:v>
              </c:pt>
              <c:pt idx="15">
                <c:v>-0.36440677966101698</c:v>
              </c:pt>
              <c:pt idx="16">
                <c:v>-0.37288135593220334</c:v>
              </c:pt>
              <c:pt idx="17">
                <c:v>-0.38700564971751417</c:v>
              </c:pt>
              <c:pt idx="18">
                <c:v>-0.44915254237288132</c:v>
              </c:pt>
              <c:pt idx="19">
                <c:v>-0.4943502824858757</c:v>
              </c:pt>
              <c:pt idx="20">
                <c:v>-0.59887005649717517</c:v>
              </c:pt>
              <c:pt idx="21">
                <c:v>-0.60451977401129942</c:v>
              </c:pt>
              <c:pt idx="22">
                <c:v>-0.67231638418079087</c:v>
              </c:pt>
              <c:pt idx="23">
                <c:v>-0.8728813559322034</c:v>
              </c:pt>
              <c:pt idx="24">
                <c:v>-0.94632768361581909</c:v>
              </c:pt>
              <c:pt idx="25">
                <c:v>-1</c:v>
              </c:pt>
              <c:pt idx="26">
                <c:v>-0.90960451977401136</c:v>
              </c:pt>
              <c:pt idx="27">
                <c:v>-0.96327683615819215</c:v>
              </c:pt>
              <c:pt idx="28">
                <c:v>-0.93220338983050843</c:v>
              </c:pt>
              <c:pt idx="29">
                <c:v>-0.93220338983050843</c:v>
              </c:pt>
              <c:pt idx="30">
                <c:v>-0.88983050847457623</c:v>
              </c:pt>
              <c:pt idx="31">
                <c:v>-0.83050847457627119</c:v>
              </c:pt>
              <c:pt idx="32">
                <c:v>-0.76836158192090398</c:v>
              </c:pt>
              <c:pt idx="33">
                <c:v>-0.70903954802259883</c:v>
              </c:pt>
              <c:pt idx="34">
                <c:v>-0.66666666666666663</c:v>
              </c:pt>
              <c:pt idx="35">
                <c:v>-0.60169491525423724</c:v>
              </c:pt>
              <c:pt idx="36">
                <c:v>-0.55084745762711873</c:v>
              </c:pt>
              <c:pt idx="37">
                <c:v>-0.50282485875706207</c:v>
              </c:pt>
              <c:pt idx="38">
                <c:v>-0.47457627118644075</c:v>
              </c:pt>
              <c:pt idx="39">
                <c:v>-0.4463276836158192</c:v>
              </c:pt>
              <c:pt idx="40">
                <c:v>-0.42090395480225995</c:v>
              </c:pt>
              <c:pt idx="41">
                <c:v>-0.40112994350282483</c:v>
              </c:pt>
              <c:pt idx="42">
                <c:v>-0.38983050847457623</c:v>
              </c:pt>
              <c:pt idx="43">
                <c:v>-0.37570621468926557</c:v>
              </c:pt>
              <c:pt idx="44">
                <c:v>-0.36440677966101698</c:v>
              </c:pt>
              <c:pt idx="45">
                <c:v>-0.35310734463276838</c:v>
              </c:pt>
              <c:pt idx="46">
                <c:v>-0.34180790960451973</c:v>
              </c:pt>
              <c:pt idx="47">
                <c:v>-0.33333333333333331</c:v>
              </c:pt>
              <c:pt idx="48">
                <c:v>-0.32485875706214684</c:v>
              </c:pt>
              <c:pt idx="49">
                <c:v>-0.31920903954802254</c:v>
              </c:pt>
              <c:pt idx="50">
                <c:v>-0.33898305084745761</c:v>
              </c:pt>
              <c:pt idx="51">
                <c:v>-0.3135593220338983</c:v>
              </c:pt>
              <c:pt idx="52">
                <c:v>-0.31638418079096048</c:v>
              </c:pt>
              <c:pt idx="53">
                <c:v>-0.30508474576271188</c:v>
              </c:pt>
              <c:pt idx="54">
                <c:v>-0.29661016949152541</c:v>
              </c:pt>
              <c:pt idx="55">
                <c:v>-0.28813559322033899</c:v>
              </c:pt>
              <c:pt idx="56">
                <c:v>-0.28531073446327682</c:v>
              </c:pt>
              <c:pt idx="57">
                <c:v>-0.2768361581920904</c:v>
              </c:pt>
              <c:pt idx="58">
                <c:v>-0.27401129943502822</c:v>
              </c:pt>
              <c:pt idx="59">
                <c:v>-0.26836158192090392</c:v>
              </c:pt>
              <c:pt idx="60">
                <c:v>-0.2655367231638418</c:v>
              </c:pt>
              <c:pt idx="61">
                <c:v>-0.26271186440677963</c:v>
              </c:pt>
              <c:pt idx="62">
                <c:v>-0.25988700564971751</c:v>
              </c:pt>
              <c:pt idx="63">
                <c:v>-0.25706214689265533</c:v>
              </c:pt>
              <c:pt idx="64">
                <c:v>-0.25141242937853103</c:v>
              </c:pt>
              <c:pt idx="65">
                <c:v>-0.25141242937853103</c:v>
              </c:pt>
              <c:pt idx="66">
                <c:v>-0.24858757062146888</c:v>
              </c:pt>
              <c:pt idx="67">
                <c:v>-0.24576271186440682</c:v>
              </c:pt>
              <c:pt idx="68">
                <c:v>-0.24293785310734467</c:v>
              </c:pt>
              <c:pt idx="69">
                <c:v>-0.24011299435028252</c:v>
              </c:pt>
              <c:pt idx="70">
                <c:v>-0.23728813559322037</c:v>
              </c:pt>
              <c:pt idx="71">
                <c:v>-0.2344632768361582</c:v>
              </c:pt>
              <c:pt idx="72">
                <c:v>-0.23163841807909605</c:v>
              </c:pt>
              <c:pt idx="73">
                <c:v>-0.23163841807909605</c:v>
              </c:pt>
              <c:pt idx="74">
                <c:v>-0.2288135593220339</c:v>
              </c:pt>
              <c:pt idx="75">
                <c:v>-0.22598870056497175</c:v>
              </c:pt>
              <c:pt idx="76">
                <c:v>-0.22598870056497175</c:v>
              </c:pt>
              <c:pt idx="77">
                <c:v>-0.22598870056497175</c:v>
              </c:pt>
              <c:pt idx="78">
                <c:v>-0.2231638418079096</c:v>
              </c:pt>
              <c:pt idx="79">
                <c:v>-0.22033898305084745</c:v>
              </c:pt>
              <c:pt idx="80">
                <c:v>-0.2175141242937853</c:v>
              </c:pt>
              <c:pt idx="81">
                <c:v>-0.21468926553672316</c:v>
              </c:pt>
              <c:pt idx="82">
                <c:v>-0.21468926553672316</c:v>
              </c:pt>
              <c:pt idx="83">
                <c:v>-0.21468926553672316</c:v>
              </c:pt>
              <c:pt idx="84">
                <c:v>-0.21468926553672316</c:v>
              </c:pt>
              <c:pt idx="85">
                <c:v>-0.21186440677966101</c:v>
              </c:pt>
              <c:pt idx="86">
                <c:v>-0.20903954802259886</c:v>
              </c:pt>
              <c:pt idx="87">
                <c:v>-0.20621468926553671</c:v>
              </c:pt>
              <c:pt idx="88">
                <c:v>-0.20621468926553671</c:v>
              </c:pt>
              <c:pt idx="89">
                <c:v>-0.20621468926553671</c:v>
              </c:pt>
              <c:pt idx="90">
                <c:v>-0.20621468926553671</c:v>
              </c:pt>
              <c:pt idx="91">
                <c:v>-0.20338983050847456</c:v>
              </c:pt>
              <c:pt idx="92">
                <c:v>-0.20056497175141241</c:v>
              </c:pt>
              <c:pt idx="93">
                <c:v>-0.20056497175141241</c:v>
              </c:pt>
              <c:pt idx="94">
                <c:v>-0.20056497175141241</c:v>
              </c:pt>
              <c:pt idx="95">
                <c:v>-0.19774011299435026</c:v>
              </c:pt>
              <c:pt idx="96">
                <c:v>-0.19774011299435026</c:v>
              </c:pt>
              <c:pt idx="97">
                <c:v>-0.19774011299435026</c:v>
              </c:pt>
              <c:pt idx="98">
                <c:v>-0.20056497175141241</c:v>
              </c:pt>
              <c:pt idx="99">
                <c:v>-0.20338983050847456</c:v>
              </c:pt>
              <c:pt idx="100">
                <c:v>-0.20621468926553671</c:v>
              </c:pt>
            </c:numLit>
          </c:xVal>
          <c:yVal>
            <c:numLit>
              <c:formatCode>General</c:formatCode>
              <c:ptCount val="101"/>
              <c:pt idx="0">
                <c:v>#N/A</c:v>
              </c:pt>
              <c:pt idx="1">
                <c:v>0.20052448104847956</c:v>
              </c:pt>
              <c:pt idx="2">
                <c:v>0.1883377732794688</c:v>
              </c:pt>
              <c:pt idx="3">
                <c:v>0.17875448781547082</c:v>
              </c:pt>
              <c:pt idx="4">
                <c:v>7.4914786344601435E-3</c:v>
              </c:pt>
              <c:pt idx="5">
                <c:v>0.16465850486018663</c:v>
              </c:pt>
              <c:pt idx="6">
                <c:v>0.1693198171882119</c:v>
              </c:pt>
              <c:pt idx="7">
                <c:v>0.17166450130304758</c:v>
              </c:pt>
              <c:pt idx="8">
                <c:v>0.17401851757750686</c:v>
              </c:pt>
              <c:pt idx="9">
                <c:v>0.1600347005156573</c:v>
              </c:pt>
              <c:pt idx="10">
                <c:v>0.15773690179128441</c:v>
              </c:pt>
              <c:pt idx="11">
                <c:v>0.150900104282612</c:v>
              </c:pt>
              <c:pt idx="12">
                <c:v>0.15544852583094429</c:v>
              </c:pt>
              <c:pt idx="13">
                <c:v>0.21294024528668654</c:v>
              </c:pt>
              <c:pt idx="14">
                <c:v>0.27839819829625623</c:v>
              </c:pt>
              <c:pt idx="15">
                <c:v>0.28387460946960263</c:v>
              </c:pt>
              <c:pt idx="16">
                <c:v>0.29215496061523422</c:v>
              </c:pt>
              <c:pt idx="17">
                <c:v>0.30613010324717704</c:v>
              </c:pt>
              <c:pt idx="18">
                <c:v>0.37018160308317705</c:v>
              </c:pt>
              <c:pt idx="19">
                <c:v>0.41934252557530505</c:v>
              </c:pt>
              <c:pt idx="20">
                <c:v>0.54112187894832087</c:v>
              </c:pt>
              <c:pt idx="21">
                <c:v>0.54802065384215215</c:v>
              </c:pt>
              <c:pt idx="22">
                <c:v>0.633285515963533</c:v>
              </c:pt>
              <c:pt idx="23">
                <c:v>0.91161065233629501</c:v>
              </c:pt>
              <c:pt idx="24">
                <c:v>1.0229848687920178</c:v>
              </c:pt>
              <c:pt idx="25">
                <c:v>1.1074914786344601</c:v>
              </c:pt>
              <c:pt idx="26">
                <c:v>0.96667708416598419</c:v>
              </c:pt>
              <c:pt idx="27">
                <c:v>1.0493887493792027</c:v>
              </c:pt>
              <c:pt idx="28">
                <c:v>1.0011818215014758</c:v>
              </c:pt>
              <c:pt idx="29">
                <c:v>1.0011818215014758</c:v>
              </c:pt>
              <c:pt idx="30">
                <c:v>0.93687097090444393</c:v>
              </c:pt>
              <c:pt idx="31">
                <c:v>0.84962970139581639</c:v>
              </c:pt>
              <c:pt idx="32">
                <c:v>0.76177900732362713</c:v>
              </c:pt>
              <c:pt idx="33">
                <c:v>0.68136023543888835</c:v>
              </c:pt>
              <c:pt idx="34">
                <c:v>0.62600651187329015</c:v>
              </c:pt>
              <c:pt idx="35">
                <c:v>0.54456726263922839</c:v>
              </c:pt>
              <c:pt idx="36">
                <c:v>0.48378282391961597</c:v>
              </c:pt>
              <c:pt idx="37">
                <c:v>0.42879824566127506</c:v>
              </c:pt>
              <c:pt idx="38">
                <c:v>0.39757057322431627</c:v>
              </c:pt>
              <c:pt idx="39">
                <c:v>0.36718055773252706</c:v>
              </c:pt>
              <c:pt idx="40">
                <c:v>0.34055342426513674</c:v>
              </c:pt>
              <c:pt idx="41">
                <c:v>0.32032227424650711</c:v>
              </c:pt>
              <c:pt idx="42">
                <c:v>0.30895121777829893</c:v>
              </c:pt>
              <c:pt idx="43">
                <c:v>0.29493256252556477</c:v>
              </c:pt>
              <c:pt idx="44">
                <c:v>0.28387460946960263</c:v>
              </c:pt>
              <c:pt idx="45">
                <c:v>0.27295695003888565</c:v>
              </c:pt>
              <c:pt idx="46">
                <c:v>0.2621803065830085</c:v>
              </c:pt>
              <c:pt idx="47">
                <c:v>0.25419080987468989</c:v>
              </c:pt>
              <c:pt idx="48">
                <c:v>0.24628136870158784</c:v>
              </c:pt>
              <c:pt idx="49">
                <c:v>0.24105304312148623</c:v>
              </c:pt>
              <c:pt idx="50">
                <c:v>0.25950826573137598</c:v>
              </c:pt>
              <c:pt idx="51">
                <c:v>0.2358605393558213</c:v>
              </c:pt>
              <c:pt idx="52">
                <c:v>0.23845230736693956</c:v>
              </c:pt>
              <c:pt idx="53">
                <c:v>0.22813916602561149</c:v>
              </c:pt>
              <c:pt idx="54">
                <c:v>0.22049895295864416</c:v>
              </c:pt>
              <c:pt idx="55">
                <c:v>0.21294024528668654</c:v>
              </c:pt>
              <c:pt idx="56">
                <c:v>0.21043884898824025</c:v>
              </c:pt>
              <c:pt idx="57">
                <c:v>0.20298936369296824</c:v>
              </c:pt>
              <c:pt idx="58">
                <c:v>0.20052448104847956</c:v>
              </c:pt>
              <c:pt idx="59">
                <c:v>0.19562221563531559</c:v>
              </c:pt>
              <c:pt idx="60">
                <c:v>0.19318486025021428</c:v>
              </c:pt>
              <c:pt idx="61">
                <c:v>0.19075670815645471</c:v>
              </c:pt>
              <c:pt idx="62">
                <c:v>0.1883377732794688</c:v>
              </c:pt>
              <c:pt idx="63">
                <c:v>0.18592806964019773</c:v>
              </c:pt>
              <c:pt idx="64">
                <c:v>0.18113641264316127</c:v>
              </c:pt>
              <c:pt idx="65">
                <c:v>0.18113641264316127</c:v>
              </c:pt>
              <c:pt idx="66">
                <c:v>0.17875448781547082</c:v>
              </c:pt>
              <c:pt idx="67">
                <c:v>0.17638185128809322</c:v>
              </c:pt>
              <c:pt idx="68">
                <c:v>0.17401851757750686</c:v>
              </c:pt>
              <c:pt idx="69">
                <c:v>0.17166450130304758</c:v>
              </c:pt>
              <c:pt idx="70">
                <c:v>0.1693198171882119</c:v>
              </c:pt>
              <c:pt idx="71">
                <c:v>0.16698448006198388</c:v>
              </c:pt>
              <c:pt idx="72">
                <c:v>0.16465850486018663</c:v>
              </c:pt>
              <c:pt idx="73">
                <c:v>0.16465850486018663</c:v>
              </c:pt>
              <c:pt idx="74">
                <c:v>0.16234190662685891</c:v>
              </c:pt>
              <c:pt idx="75">
                <c:v>0.1600347005156573</c:v>
              </c:pt>
              <c:pt idx="76">
                <c:v>0.1600347005156573</c:v>
              </c:pt>
              <c:pt idx="77">
                <c:v>0.1600347005156573</c:v>
              </c:pt>
              <c:pt idx="78">
                <c:v>0.15773690179128441</c:v>
              </c:pt>
              <c:pt idx="79">
                <c:v>0.15544852583094429</c:v>
              </c:pt>
              <c:pt idx="80">
                <c:v>0.15316958812582546</c:v>
              </c:pt>
              <c:pt idx="81">
                <c:v>0.150900104282612</c:v>
              </c:pt>
              <c:pt idx="82">
                <c:v>0.150900104282612</c:v>
              </c:pt>
              <c:pt idx="83">
                <c:v>0.150900104282612</c:v>
              </c:pt>
              <c:pt idx="84">
                <c:v>0.150900104282612</c:v>
              </c:pt>
              <c:pt idx="85">
                <c:v>0.14864009002502351</c:v>
              </c:pt>
              <c:pt idx="86">
                <c:v>0.14638956119538535</c:v>
              </c:pt>
              <c:pt idx="87">
                <c:v>0.14414853375622838</c:v>
              </c:pt>
              <c:pt idx="88">
                <c:v>0.14414853375622838</c:v>
              </c:pt>
              <c:pt idx="89">
                <c:v>0.14414853375622838</c:v>
              </c:pt>
              <c:pt idx="90">
                <c:v>0.14414853375622838</c:v>
              </c:pt>
              <c:pt idx="91">
                <c:v>0.141917023791921</c:v>
              </c:pt>
              <c:pt idx="92">
                <c:v>0.13969504751033232</c:v>
              </c:pt>
              <c:pt idx="93">
                <c:v>0.13969504751033232</c:v>
              </c:pt>
              <c:pt idx="94">
                <c:v>0.13969504751033232</c:v>
              </c:pt>
              <c:pt idx="95">
                <c:v>0.13748262124452881</c:v>
              </c:pt>
              <c:pt idx="96">
                <c:v>0.13748262124452881</c:v>
              </c:pt>
              <c:pt idx="97">
                <c:v>0.13748262124452881</c:v>
              </c:pt>
              <c:pt idx="98">
                <c:v>0.13969504751033232</c:v>
              </c:pt>
              <c:pt idx="99">
                <c:v>0.141917023791921</c:v>
              </c:pt>
              <c:pt idx="100">
                <c:v>0.14414853375622838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C-BC5A-46DC-8108-664D430B89BE}"/>
            </c:ext>
          </c:extLst>
        </c:ser>
        <c:ser>
          <c:idx val="13"/>
          <c:order val="13"/>
          <c:spPr>
            <a:ln w="31750">
              <a:noFill/>
            </a:ln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#N/A</c:v>
              </c:pt>
              <c:pt idx="1">
                <c:v>-0.27401129943502822</c:v>
              </c:pt>
              <c:pt idx="2">
                <c:v>-0.25988700564971751</c:v>
              </c:pt>
              <c:pt idx="3">
                <c:v>-0.24858757062146888</c:v>
              </c:pt>
              <c:pt idx="4">
                <c:v>0</c:v>
              </c:pt>
              <c:pt idx="5">
                <c:v>-0.23163841807909605</c:v>
              </c:pt>
              <c:pt idx="6">
                <c:v>-0.23728813559322037</c:v>
              </c:pt>
              <c:pt idx="7">
                <c:v>-0.24011299435028252</c:v>
              </c:pt>
              <c:pt idx="8">
                <c:v>-0.24293785310734467</c:v>
              </c:pt>
              <c:pt idx="9">
                <c:v>-0.22598870056497175</c:v>
              </c:pt>
              <c:pt idx="10">
                <c:v>-0.2231638418079096</c:v>
              </c:pt>
              <c:pt idx="11">
                <c:v>-0.21468926553672316</c:v>
              </c:pt>
              <c:pt idx="12">
                <c:v>-0.22033898305084745</c:v>
              </c:pt>
              <c:pt idx="13">
                <c:v>-0.28813559322033899</c:v>
              </c:pt>
              <c:pt idx="14">
                <c:v>-0.35875706214689268</c:v>
              </c:pt>
              <c:pt idx="15">
                <c:v>-0.36440677966101698</c:v>
              </c:pt>
              <c:pt idx="16">
                <c:v>-0.37288135593220334</c:v>
              </c:pt>
              <c:pt idx="17">
                <c:v>-0.38700564971751417</c:v>
              </c:pt>
              <c:pt idx="18">
                <c:v>-0.44915254237288132</c:v>
              </c:pt>
              <c:pt idx="19">
                <c:v>-0.4943502824858757</c:v>
              </c:pt>
              <c:pt idx="20">
                <c:v>-0.59887005649717517</c:v>
              </c:pt>
              <c:pt idx="21">
                <c:v>-0.60451977401129942</c:v>
              </c:pt>
              <c:pt idx="22">
                <c:v>-0.67231638418079087</c:v>
              </c:pt>
              <c:pt idx="23">
                <c:v>-0.8728813559322034</c:v>
              </c:pt>
              <c:pt idx="24">
                <c:v>-0.94632768361581909</c:v>
              </c:pt>
              <c:pt idx="25">
                <c:v>-1</c:v>
              </c:pt>
              <c:pt idx="26">
                <c:v>-0.90960451977401136</c:v>
              </c:pt>
              <c:pt idx="27">
                <c:v>-0.96327683615819215</c:v>
              </c:pt>
              <c:pt idx="28">
                <c:v>-0.93220338983050843</c:v>
              </c:pt>
              <c:pt idx="29">
                <c:v>-0.93220338983050843</c:v>
              </c:pt>
              <c:pt idx="30">
                <c:v>-0.88983050847457623</c:v>
              </c:pt>
              <c:pt idx="31">
                <c:v>-0.83050847457627119</c:v>
              </c:pt>
              <c:pt idx="32">
                <c:v>-0.76836158192090398</c:v>
              </c:pt>
              <c:pt idx="33">
                <c:v>-0.70903954802259883</c:v>
              </c:pt>
              <c:pt idx="34">
                <c:v>-0.66666666666666663</c:v>
              </c:pt>
              <c:pt idx="35">
                <c:v>-0.60169491525423724</c:v>
              </c:pt>
              <c:pt idx="36">
                <c:v>-0.55084745762711873</c:v>
              </c:pt>
              <c:pt idx="37">
                <c:v>-0.50282485875706207</c:v>
              </c:pt>
              <c:pt idx="38">
                <c:v>-0.47457627118644075</c:v>
              </c:pt>
              <c:pt idx="39">
                <c:v>-0.4463276836158192</c:v>
              </c:pt>
              <c:pt idx="40">
                <c:v>-0.42090395480225995</c:v>
              </c:pt>
              <c:pt idx="41">
                <c:v>-0.40112994350282483</c:v>
              </c:pt>
              <c:pt idx="42">
                <c:v>-0.38983050847457623</c:v>
              </c:pt>
              <c:pt idx="43">
                <c:v>-0.37570621468926557</c:v>
              </c:pt>
              <c:pt idx="44">
                <c:v>-0.36440677966101698</c:v>
              </c:pt>
              <c:pt idx="45">
                <c:v>-0.35310734463276838</c:v>
              </c:pt>
              <c:pt idx="46">
                <c:v>-0.34180790960451973</c:v>
              </c:pt>
              <c:pt idx="47">
                <c:v>-0.33333333333333331</c:v>
              </c:pt>
              <c:pt idx="48">
                <c:v>-0.32485875706214684</c:v>
              </c:pt>
              <c:pt idx="49">
                <c:v>-0.31920903954802254</c:v>
              </c:pt>
              <c:pt idx="50">
                <c:v>-0.33898305084745761</c:v>
              </c:pt>
              <c:pt idx="51">
                <c:v>-0.3135593220338983</c:v>
              </c:pt>
              <c:pt idx="52">
                <c:v>-0.31638418079096048</c:v>
              </c:pt>
              <c:pt idx="53">
                <c:v>-0.30508474576271188</c:v>
              </c:pt>
              <c:pt idx="54">
                <c:v>-0.29661016949152541</c:v>
              </c:pt>
              <c:pt idx="55">
                <c:v>-0.28813559322033899</c:v>
              </c:pt>
              <c:pt idx="56">
                <c:v>-0.28531073446327682</c:v>
              </c:pt>
              <c:pt idx="57">
                <c:v>-0.2768361581920904</c:v>
              </c:pt>
              <c:pt idx="58">
                <c:v>-0.27401129943502822</c:v>
              </c:pt>
              <c:pt idx="59">
                <c:v>-0.26836158192090392</c:v>
              </c:pt>
              <c:pt idx="60">
                <c:v>-0.2655367231638418</c:v>
              </c:pt>
              <c:pt idx="61">
                <c:v>-0.26271186440677963</c:v>
              </c:pt>
              <c:pt idx="62">
                <c:v>-0.25988700564971751</c:v>
              </c:pt>
              <c:pt idx="63">
                <c:v>-0.25706214689265533</c:v>
              </c:pt>
              <c:pt idx="64">
                <c:v>-0.25141242937853103</c:v>
              </c:pt>
              <c:pt idx="65">
                <c:v>-0.25141242937853103</c:v>
              </c:pt>
              <c:pt idx="66">
                <c:v>-0.24858757062146888</c:v>
              </c:pt>
              <c:pt idx="67">
                <c:v>-0.24576271186440682</c:v>
              </c:pt>
              <c:pt idx="68">
                <c:v>-0.24293785310734467</c:v>
              </c:pt>
              <c:pt idx="69">
                <c:v>-0.24011299435028252</c:v>
              </c:pt>
              <c:pt idx="70">
                <c:v>-0.23728813559322037</c:v>
              </c:pt>
              <c:pt idx="71">
                <c:v>-0.2344632768361582</c:v>
              </c:pt>
              <c:pt idx="72">
                <c:v>-0.23163841807909605</c:v>
              </c:pt>
              <c:pt idx="73">
                <c:v>-0.23163841807909605</c:v>
              </c:pt>
              <c:pt idx="74">
                <c:v>-0.2288135593220339</c:v>
              </c:pt>
              <c:pt idx="75">
                <c:v>-0.22598870056497175</c:v>
              </c:pt>
              <c:pt idx="76">
                <c:v>-0.22598870056497175</c:v>
              </c:pt>
              <c:pt idx="77">
                <c:v>-0.22598870056497175</c:v>
              </c:pt>
              <c:pt idx="78">
                <c:v>-0.2231638418079096</c:v>
              </c:pt>
              <c:pt idx="79">
                <c:v>-0.22033898305084745</c:v>
              </c:pt>
              <c:pt idx="80">
                <c:v>-0.2175141242937853</c:v>
              </c:pt>
              <c:pt idx="81">
                <c:v>-0.21468926553672316</c:v>
              </c:pt>
              <c:pt idx="82">
                <c:v>-0.21468926553672316</c:v>
              </c:pt>
              <c:pt idx="83">
                <c:v>-0.21468926553672316</c:v>
              </c:pt>
              <c:pt idx="84">
                <c:v>-0.21468926553672316</c:v>
              </c:pt>
              <c:pt idx="85">
                <c:v>-0.21186440677966101</c:v>
              </c:pt>
              <c:pt idx="86">
                <c:v>-0.20903954802259886</c:v>
              </c:pt>
              <c:pt idx="87">
                <c:v>-0.20621468926553671</c:v>
              </c:pt>
              <c:pt idx="88">
                <c:v>-0.20621468926553671</c:v>
              </c:pt>
              <c:pt idx="89">
                <c:v>-0.20621468926553671</c:v>
              </c:pt>
              <c:pt idx="90">
                <c:v>-0.20621468926553671</c:v>
              </c:pt>
              <c:pt idx="91">
                <c:v>-0.20338983050847456</c:v>
              </c:pt>
              <c:pt idx="92">
                <c:v>-0.20056497175141241</c:v>
              </c:pt>
              <c:pt idx="93">
                <c:v>-0.20056497175141241</c:v>
              </c:pt>
              <c:pt idx="94">
                <c:v>-0.20056497175141241</c:v>
              </c:pt>
              <c:pt idx="95">
                <c:v>-0.19774011299435026</c:v>
              </c:pt>
              <c:pt idx="96">
                <c:v>-0.19774011299435026</c:v>
              </c:pt>
              <c:pt idx="97">
                <c:v>-0.19774011299435026</c:v>
              </c:pt>
              <c:pt idx="98">
                <c:v>-0.20056497175141241</c:v>
              </c:pt>
              <c:pt idx="99">
                <c:v>-0.20338983050847456</c:v>
              </c:pt>
              <c:pt idx="100">
                <c:v>-0.20621468926553671</c:v>
              </c:pt>
            </c:numLit>
          </c:xVal>
          <c:yVal>
            <c:numLit>
              <c:formatCode>General</c:formatCode>
              <c:ptCount val="101"/>
              <c:pt idx="0">
                <c:v>#N/A</c:v>
              </c:pt>
              <c:pt idx="1">
                <c:v>0.1504446142497376</c:v>
              </c:pt>
              <c:pt idx="2">
                <c:v>0.14047367152963783</c:v>
              </c:pt>
              <c:pt idx="3">
                <c:v>0.13263280160454854</c:v>
              </c:pt>
              <c:pt idx="4">
                <c:v>-7.4914786344601435E-3</c:v>
              </c:pt>
              <c:pt idx="5">
                <c:v>0.12109972464113426</c:v>
              </c:pt>
              <c:pt idx="6">
                <c:v>0.12491352563679128</c:v>
              </c:pt>
              <c:pt idx="7">
                <c:v>0.12683190354892956</c:v>
              </c:pt>
              <c:pt idx="8">
                <c:v>0.12875791686439625</c:v>
              </c:pt>
              <c:pt idx="9">
                <c:v>0.11731661199561023</c:v>
              </c:pt>
              <c:pt idx="10">
                <c:v>0.11543659485748696</c:v>
              </c:pt>
              <c:pt idx="11">
                <c:v>0.10984285144130043</c:v>
              </c:pt>
              <c:pt idx="12">
                <c:v>0.1135642872535723</c:v>
              </c:pt>
              <c:pt idx="13">
                <c:v>0.1606029668082706</c:v>
              </c:pt>
              <c:pt idx="14">
                <c:v>0.21415947381610029</c:v>
              </c:pt>
              <c:pt idx="15">
                <c:v>0.21864017386702012</c:v>
              </c:pt>
              <c:pt idx="16">
                <c:v>0.2254150066225368</c:v>
              </c:pt>
              <c:pt idx="17">
                <c:v>0.23684921423048999</c:v>
              </c:pt>
              <c:pt idx="18">
                <c:v>0.28925498682358097</c:v>
              </c:pt>
              <c:pt idx="19">
                <c:v>0.32947755977168564</c:v>
              </c:pt>
              <c:pt idx="20">
                <c:v>0.42911521253142598</c:v>
              </c:pt>
              <c:pt idx="21">
                <c:v>0.43475966471728783</c:v>
              </c:pt>
              <c:pt idx="22">
                <c:v>0.50452182463478124</c:v>
              </c:pt>
              <c:pt idx="23">
                <c:v>0.73224239075795017</c:v>
              </c:pt>
              <c:pt idx="24">
                <c:v>0.82336674967626877</c:v>
              </c:pt>
              <c:pt idx="25">
                <c:v>0.89250852136553993</c:v>
              </c:pt>
              <c:pt idx="26">
                <c:v>0.77729674407315041</c:v>
              </c:pt>
              <c:pt idx="27">
                <c:v>0.84496992470214727</c:v>
              </c:pt>
              <c:pt idx="28">
                <c:v>0.80552789280218906</c:v>
              </c:pt>
              <c:pt idx="29">
                <c:v>0.80552789280218906</c:v>
              </c:pt>
              <c:pt idx="30">
                <c:v>0.75290992413189028</c:v>
              </c:pt>
              <c:pt idx="31">
                <c:v>0.68153070362483137</c:v>
              </c:pt>
              <c:pt idx="32">
                <c:v>0.60965286302031285</c:v>
              </c:pt>
              <c:pt idx="33">
                <c:v>0.54385568602370848</c:v>
              </c:pt>
              <c:pt idx="34">
                <c:v>0.49856627583367352</c:v>
              </c:pt>
              <c:pt idx="35">
                <c:v>0.43193416282398661</c:v>
              </c:pt>
              <c:pt idx="36">
                <c:v>0.38220144023521291</c:v>
              </c:pt>
              <c:pt idx="37">
                <c:v>0.33721405802384297</c:v>
              </c:pt>
              <c:pt idx="38">
                <c:v>0.31166414421178573</c:v>
              </c:pt>
              <c:pt idx="39">
                <c:v>0.28679958608214007</c:v>
              </c:pt>
              <c:pt idx="40">
                <c:v>0.26501374960882068</c:v>
              </c:pt>
              <c:pt idx="41">
                <c:v>0.24846099050266918</c:v>
              </c:pt>
              <c:pt idx="42">
                <c:v>0.23915739884686243</c:v>
              </c:pt>
              <c:pt idx="43">
                <c:v>0.22768759000371633</c:v>
              </c:pt>
              <c:pt idx="44">
                <c:v>0.21864017386702012</c:v>
              </c:pt>
              <c:pt idx="45">
                <c:v>0.20970754342370612</c:v>
              </c:pt>
              <c:pt idx="46">
                <c:v>0.20089028968707937</c:v>
              </c:pt>
              <c:pt idx="47">
                <c:v>0.19435342874390965</c:v>
              </c:pt>
              <c:pt idx="48">
                <c:v>0.18788206778409886</c:v>
              </c:pt>
              <c:pt idx="49">
                <c:v>0.18360434685492485</c:v>
              </c:pt>
              <c:pt idx="50">
                <c:v>0.19870407444483465</c:v>
              </c:pt>
              <c:pt idx="51">
                <c:v>0.17935593468301714</c:v>
              </c:pt>
              <c:pt idx="52">
                <c:v>0.18147647214665935</c:v>
              </c:pt>
              <c:pt idx="53">
                <c:v>0.17303844741284552</c:v>
              </c:pt>
              <c:pt idx="54">
                <c:v>0.16678736399441774</c:v>
              </c:pt>
              <c:pt idx="55">
                <c:v>0.1606029668082706</c:v>
              </c:pt>
              <c:pt idx="56">
                <c:v>0.15855636983681445</c:v>
              </c:pt>
              <c:pt idx="57">
                <c:v>0.15246133641341009</c:v>
              </c:pt>
              <c:pt idx="58">
                <c:v>0.1504446142497376</c:v>
              </c:pt>
              <c:pt idx="59">
                <c:v>0.14643366982078521</c:v>
              </c:pt>
              <c:pt idx="60">
                <c:v>0.14443946996024776</c:v>
              </c:pt>
              <c:pt idx="61">
                <c:v>0.14245280006535363</c:v>
              </c:pt>
              <c:pt idx="62">
                <c:v>0.14047367152963783</c:v>
              </c:pt>
              <c:pt idx="63">
                <c:v>0.13850209582477971</c:v>
              </c:pt>
              <c:pt idx="64">
                <c:v>0.13458164919084079</c:v>
              </c:pt>
              <c:pt idx="65">
                <c:v>0.13458164919084079</c:v>
              </c:pt>
              <c:pt idx="66">
                <c:v>0.13263280160454854</c:v>
              </c:pt>
              <c:pt idx="67">
                <c:v>0.13069155353669418</c:v>
              </c:pt>
              <c:pt idx="68">
                <c:v>0.12875791686439625</c:v>
              </c:pt>
              <c:pt idx="69">
                <c:v>0.12683190354892956</c:v>
              </c:pt>
              <c:pt idx="70">
                <c:v>0.12491352563679128</c:v>
              </c:pt>
              <c:pt idx="71">
                <c:v>0.12300279526078656</c:v>
              </c:pt>
              <c:pt idx="72">
                <c:v>0.12109972464113426</c:v>
              </c:pt>
              <c:pt idx="73">
                <c:v>0.12109972464113426</c:v>
              </c:pt>
              <c:pt idx="74">
                <c:v>0.11920432608659341</c:v>
              </c:pt>
              <c:pt idx="75">
                <c:v>0.11731661199561023</c:v>
              </c:pt>
              <c:pt idx="76">
                <c:v>0.11731661199561023</c:v>
              </c:pt>
              <c:pt idx="77">
                <c:v>0.11731661199561023</c:v>
              </c:pt>
              <c:pt idx="78">
                <c:v>0.11543659485748696</c:v>
              </c:pt>
              <c:pt idx="79">
                <c:v>0.1135642872535723</c:v>
              </c:pt>
              <c:pt idx="80">
                <c:v>0.11169970185847508</c:v>
              </c:pt>
              <c:pt idx="81">
                <c:v>0.10984285144130043</c:v>
              </c:pt>
              <c:pt idx="82">
                <c:v>0.10984285144130043</c:v>
              </c:pt>
              <c:pt idx="83">
                <c:v>0.10984285144130043</c:v>
              </c:pt>
              <c:pt idx="84">
                <c:v>0.10984285144130043</c:v>
              </c:pt>
              <c:pt idx="85">
                <c:v>0.10799374886690991</c:v>
              </c:pt>
              <c:pt idx="86">
                <c:v>0.10615240709720591</c:v>
              </c:pt>
              <c:pt idx="87">
                <c:v>0.10431883919244114</c:v>
              </c:pt>
              <c:pt idx="88">
                <c:v>0.10431883919244114</c:v>
              </c:pt>
              <c:pt idx="89">
                <c:v>0.10431883919244114</c:v>
              </c:pt>
              <c:pt idx="90">
                <c:v>0.10431883919244114</c:v>
              </c:pt>
              <c:pt idx="91">
                <c:v>0.10249305831255326</c:v>
              </c:pt>
              <c:pt idx="92">
                <c:v>0.10067507771852617</c:v>
              </c:pt>
              <c:pt idx="93">
                <c:v>0.10067507771852617</c:v>
              </c:pt>
              <c:pt idx="94">
                <c:v>0.10067507771852617</c:v>
              </c:pt>
              <c:pt idx="95">
                <c:v>9.8864910773777875E-2</c:v>
              </c:pt>
              <c:pt idx="96">
                <c:v>9.8864910773777875E-2</c:v>
              </c:pt>
              <c:pt idx="97">
                <c:v>9.8864910773777875E-2</c:v>
              </c:pt>
              <c:pt idx="98">
                <c:v>0.10067507771852617</c:v>
              </c:pt>
              <c:pt idx="99">
                <c:v>0.10249305831255326</c:v>
              </c:pt>
              <c:pt idx="100">
                <c:v>0.10431883919244114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BC5A-46DC-8108-664D430B89BE}"/>
            </c:ext>
          </c:extLst>
        </c:ser>
        <c:ser>
          <c:idx val="14"/>
          <c:order val="14"/>
          <c:spPr>
            <a:ln w="3175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#N/A</c:v>
              </c:pt>
              <c:pt idx="1">
                <c:v>0</c:v>
              </c:pt>
              <c:pt idx="2">
                <c:v>1.0309196725878716E-2</c:v>
              </c:pt>
              <c:pt idx="3">
                <c:v>2.0618393451757432E-2</c:v>
              </c:pt>
              <c:pt idx="4">
                <c:v>3.092759017763615E-2</c:v>
              </c:pt>
              <c:pt idx="5">
                <c:v>4.1236786903514865E-2</c:v>
              </c:pt>
              <c:pt idx="6">
                <c:v>5.1545983629393582E-2</c:v>
              </c:pt>
              <c:pt idx="7">
                <c:v>6.18551803552723E-2</c:v>
              </c:pt>
              <c:pt idx="8">
                <c:v>7.2164377081151018E-2</c:v>
              </c:pt>
              <c:pt idx="9">
                <c:v>8.2473573807029729E-2</c:v>
              </c:pt>
              <c:pt idx="10">
                <c:v>9.2782770532908454E-2</c:v>
              </c:pt>
              <c:pt idx="11">
                <c:v>0.10309196725878716</c:v>
              </c:pt>
              <c:pt idx="12">
                <c:v>0.11340116398466588</c:v>
              </c:pt>
              <c:pt idx="13">
                <c:v>0.1237103607105446</c:v>
              </c:pt>
              <c:pt idx="14">
                <c:v>0.13401955743642333</c:v>
              </c:pt>
              <c:pt idx="15">
                <c:v>0.14432875416230204</c:v>
              </c:pt>
              <c:pt idx="16">
                <c:v>0.15463795088818075</c:v>
              </c:pt>
              <c:pt idx="17">
                <c:v>0.16494714761405946</c:v>
              </c:pt>
              <c:pt idx="18">
                <c:v>0.17525634433993817</c:v>
              </c:pt>
              <c:pt idx="19">
                <c:v>0.18556554106581691</c:v>
              </c:pt>
              <c:pt idx="20">
                <c:v>0.19587473779169562</c:v>
              </c:pt>
              <c:pt idx="21">
                <c:v>0.20618393451757433</c:v>
              </c:pt>
              <c:pt idx="22">
                <c:v>0.21649313124345304</c:v>
              </c:pt>
              <c:pt idx="23">
                <c:v>0.22680232796933175</c:v>
              </c:pt>
              <c:pt idx="24">
                <c:v>0.23711152469521049</c:v>
              </c:pt>
              <c:pt idx="25">
                <c:v>0.2474207214210892</c:v>
              </c:pt>
              <c:pt idx="26">
                <c:v>0.25772991814696788</c:v>
              </c:pt>
              <c:pt idx="27">
                <c:v>0.26803911487284665</c:v>
              </c:pt>
              <c:pt idx="28">
                <c:v>0.27834831159872536</c:v>
              </c:pt>
              <c:pt idx="29">
                <c:v>0.28865750832460407</c:v>
              </c:pt>
              <c:pt idx="30">
                <c:v>0.29896670505048278</c:v>
              </c:pt>
              <c:pt idx="31">
                <c:v>0.30927590177636149</c:v>
              </c:pt>
              <c:pt idx="32">
                <c:v>0.31958509850224021</c:v>
              </c:pt>
              <c:pt idx="33">
                <c:v>0.32989429522811892</c:v>
              </c:pt>
              <c:pt idx="34">
                <c:v>0.34020349195399763</c:v>
              </c:pt>
              <c:pt idx="35">
                <c:v>0.35051268867987634</c:v>
              </c:pt>
              <c:pt idx="36">
                <c:v>0.36082188540575505</c:v>
              </c:pt>
              <c:pt idx="37">
                <c:v>0.37113108213163382</c:v>
              </c:pt>
              <c:pt idx="38">
                <c:v>0.38144027885751253</c:v>
              </c:pt>
              <c:pt idx="39">
                <c:v>0.39174947558339124</c:v>
              </c:pt>
              <c:pt idx="40">
                <c:v>0.40205867230926995</c:v>
              </c:pt>
              <c:pt idx="41">
                <c:v>0.41236786903514866</c:v>
              </c:pt>
              <c:pt idx="42">
                <c:v>0.42267706576102737</c:v>
              </c:pt>
              <c:pt idx="43">
                <c:v>0.43298626248690608</c:v>
              </c:pt>
              <c:pt idx="44">
                <c:v>0.44329545921278479</c:v>
              </c:pt>
              <c:pt idx="45">
                <c:v>0.4536046559386635</c:v>
              </c:pt>
              <c:pt idx="46">
                <c:v>0.46391385266454221</c:v>
              </c:pt>
              <c:pt idx="47">
                <c:v>0.47422304939042098</c:v>
              </c:pt>
              <c:pt idx="48">
                <c:v>0.48453224611629969</c:v>
              </c:pt>
              <c:pt idx="49">
                <c:v>0.4948414428421784</c:v>
              </c:pt>
              <c:pt idx="50">
                <c:v>0.49484936043194289</c:v>
              </c:pt>
              <c:pt idx="51">
                <c:v>0.50515063956805706</c:v>
              </c:pt>
              <c:pt idx="52">
                <c:v>0.50515855715782165</c:v>
              </c:pt>
              <c:pt idx="53">
                <c:v>0.51546775388370036</c:v>
              </c:pt>
              <c:pt idx="54">
                <c:v>0.52577695060957907</c:v>
              </c:pt>
              <c:pt idx="55">
                <c:v>0.53608614733545779</c:v>
              </c:pt>
              <c:pt idx="56">
                <c:v>0.5463953440613365</c:v>
              </c:pt>
              <c:pt idx="57">
                <c:v>0.55670454078721521</c:v>
              </c:pt>
              <c:pt idx="58">
                <c:v>0.56701373751309392</c:v>
              </c:pt>
              <c:pt idx="59">
                <c:v>0.57732293423897263</c:v>
              </c:pt>
              <c:pt idx="60">
                <c:v>0.58763213096485134</c:v>
              </c:pt>
              <c:pt idx="61">
                <c:v>0.59794132769073005</c:v>
              </c:pt>
              <c:pt idx="62">
                <c:v>0.60825052441660876</c:v>
              </c:pt>
              <c:pt idx="63">
                <c:v>0.61855972114248747</c:v>
              </c:pt>
              <c:pt idx="64">
                <c:v>0.62886891786836618</c:v>
              </c:pt>
              <c:pt idx="65">
                <c:v>0.63917811459424489</c:v>
              </c:pt>
              <c:pt idx="66">
                <c:v>0.64948731132012361</c:v>
              </c:pt>
              <c:pt idx="67">
                <c:v>0.65979650804600232</c:v>
              </c:pt>
              <c:pt idx="68">
                <c:v>0.67010570477188103</c:v>
              </c:pt>
              <c:pt idx="69">
                <c:v>0.68041490149775974</c:v>
              </c:pt>
              <c:pt idx="70">
                <c:v>0.69072409822363856</c:v>
              </c:pt>
              <c:pt idx="71">
                <c:v>0.70103329494951727</c:v>
              </c:pt>
              <c:pt idx="72">
                <c:v>0.71134249167539598</c:v>
              </c:pt>
              <c:pt idx="73">
                <c:v>0.72165168840127469</c:v>
              </c:pt>
              <c:pt idx="74">
                <c:v>0.7319608851271534</c:v>
              </c:pt>
              <c:pt idx="75">
                <c:v>0.74227008185303212</c:v>
              </c:pt>
              <c:pt idx="76">
                <c:v>0.75257927857891083</c:v>
              </c:pt>
              <c:pt idx="77">
                <c:v>0.76288847530478954</c:v>
              </c:pt>
              <c:pt idx="78">
                <c:v>0.77319767203066825</c:v>
              </c:pt>
              <c:pt idx="79">
                <c:v>0.78350686875654696</c:v>
              </c:pt>
              <c:pt idx="80">
                <c:v>0.79381606548242567</c:v>
              </c:pt>
              <c:pt idx="81">
                <c:v>0.80412526220830438</c:v>
              </c:pt>
              <c:pt idx="82">
                <c:v>0.81443445893418309</c:v>
              </c:pt>
              <c:pt idx="83">
                <c:v>0.8247436556600618</c:v>
              </c:pt>
              <c:pt idx="84">
                <c:v>0.83505285238594051</c:v>
              </c:pt>
              <c:pt idx="85">
                <c:v>0.84536204911181922</c:v>
              </c:pt>
              <c:pt idx="86">
                <c:v>0.85567124583769794</c:v>
              </c:pt>
              <c:pt idx="87">
                <c:v>0.86598044256357665</c:v>
              </c:pt>
              <c:pt idx="88">
                <c:v>0.87628963928945536</c:v>
              </c:pt>
              <c:pt idx="89">
                <c:v>0.88659883601533407</c:v>
              </c:pt>
              <c:pt idx="90">
                <c:v>0.89690803274121289</c:v>
              </c:pt>
              <c:pt idx="91">
                <c:v>0.9072172294670916</c:v>
              </c:pt>
              <c:pt idx="92">
                <c:v>0.91752642619297031</c:v>
              </c:pt>
              <c:pt idx="93">
                <c:v>0.92783562291884902</c:v>
              </c:pt>
              <c:pt idx="94">
                <c:v>0.93814481964472773</c:v>
              </c:pt>
              <c:pt idx="95">
                <c:v>0.94845401637060645</c:v>
              </c:pt>
              <c:pt idx="96">
                <c:v>0.95876321309648516</c:v>
              </c:pt>
              <c:pt idx="97">
                <c:v>0.96907240982236387</c:v>
              </c:pt>
              <c:pt idx="98">
                <c:v>0.97938160654824258</c:v>
              </c:pt>
              <c:pt idx="99">
                <c:v>0.98969080327412129</c:v>
              </c:pt>
              <c:pt idx="100">
                <c:v>1</c:v>
              </c:pt>
            </c:numLit>
          </c:xVal>
          <c:yVal>
            <c:numLit>
              <c:formatCode>General</c:formatCode>
              <c:ptCount val="101"/>
              <c:pt idx="0">
                <c:v>#N/A</c:v>
              </c:pt>
              <c:pt idx="1">
                <c:v>0.20052448104847956</c:v>
              </c:pt>
              <c:pt idx="2">
                <c:v>0.1883377732794688</c:v>
              </c:pt>
              <c:pt idx="3">
                <c:v>0.17875448781547082</c:v>
              </c:pt>
              <c:pt idx="4">
                <c:v>7.4914786344601435E-3</c:v>
              </c:pt>
              <c:pt idx="5">
                <c:v>0.16465850486018663</c:v>
              </c:pt>
              <c:pt idx="6">
                <c:v>0.1693198171882119</c:v>
              </c:pt>
              <c:pt idx="7">
                <c:v>0.17166450130304758</c:v>
              </c:pt>
              <c:pt idx="8">
                <c:v>0.17401851757750686</c:v>
              </c:pt>
              <c:pt idx="9">
                <c:v>0.1600347005156573</c:v>
              </c:pt>
              <c:pt idx="10">
                <c:v>0.15773690179128441</c:v>
              </c:pt>
              <c:pt idx="11">
                <c:v>0.150900104282612</c:v>
              </c:pt>
              <c:pt idx="12">
                <c:v>0.15544852583094429</c:v>
              </c:pt>
              <c:pt idx="13">
                <c:v>0.21294024528668654</c:v>
              </c:pt>
              <c:pt idx="14">
                <c:v>0.27839819829625623</c:v>
              </c:pt>
              <c:pt idx="15">
                <c:v>0.28387460946960263</c:v>
              </c:pt>
              <c:pt idx="16">
                <c:v>0.29215496061523422</c:v>
              </c:pt>
              <c:pt idx="17">
                <c:v>0.30613010324717704</c:v>
              </c:pt>
              <c:pt idx="18">
                <c:v>0.37018160308317705</c:v>
              </c:pt>
              <c:pt idx="19">
                <c:v>0.41934252557530505</c:v>
              </c:pt>
              <c:pt idx="20">
                <c:v>0.54112187894832087</c:v>
              </c:pt>
              <c:pt idx="21">
                <c:v>0.54802065384215215</c:v>
              </c:pt>
              <c:pt idx="22">
                <c:v>0.633285515963533</c:v>
              </c:pt>
              <c:pt idx="23">
                <c:v>0.91161065233629501</c:v>
              </c:pt>
              <c:pt idx="24">
                <c:v>1.0229848687920178</c:v>
              </c:pt>
              <c:pt idx="25">
                <c:v>1.1074914786344601</c:v>
              </c:pt>
              <c:pt idx="26">
                <c:v>0.96667708416598419</c:v>
              </c:pt>
              <c:pt idx="27">
                <c:v>1.0493887493792027</c:v>
              </c:pt>
              <c:pt idx="28">
                <c:v>1.0011818215014758</c:v>
              </c:pt>
              <c:pt idx="29">
                <c:v>1.0011818215014758</c:v>
              </c:pt>
              <c:pt idx="30">
                <c:v>0.93687097090444393</c:v>
              </c:pt>
              <c:pt idx="31">
                <c:v>0.84962970139581639</c:v>
              </c:pt>
              <c:pt idx="32">
                <c:v>0.76177900732362713</c:v>
              </c:pt>
              <c:pt idx="33">
                <c:v>0.68136023543888835</c:v>
              </c:pt>
              <c:pt idx="34">
                <c:v>0.62600651187329015</c:v>
              </c:pt>
              <c:pt idx="35">
                <c:v>0.54456726263922839</c:v>
              </c:pt>
              <c:pt idx="36">
                <c:v>0.48378282391961597</c:v>
              </c:pt>
              <c:pt idx="37">
                <c:v>0.42879824566127506</c:v>
              </c:pt>
              <c:pt idx="38">
                <c:v>0.39757057322431627</c:v>
              </c:pt>
              <c:pt idx="39">
                <c:v>0.36718055773252706</c:v>
              </c:pt>
              <c:pt idx="40">
                <c:v>0.34055342426513674</c:v>
              </c:pt>
              <c:pt idx="41">
                <c:v>0.32032227424650711</c:v>
              </c:pt>
              <c:pt idx="42">
                <c:v>0.30895121777829893</c:v>
              </c:pt>
              <c:pt idx="43">
                <c:v>0.29493256252556477</c:v>
              </c:pt>
              <c:pt idx="44">
                <c:v>0.28387460946960263</c:v>
              </c:pt>
              <c:pt idx="45">
                <c:v>0.27295695003888565</c:v>
              </c:pt>
              <c:pt idx="46">
                <c:v>0.2621803065830085</c:v>
              </c:pt>
              <c:pt idx="47">
                <c:v>0.25419080987468989</c:v>
              </c:pt>
              <c:pt idx="48">
                <c:v>0.24628136870158784</c:v>
              </c:pt>
              <c:pt idx="49">
                <c:v>0.24105304312148623</c:v>
              </c:pt>
              <c:pt idx="50">
                <c:v>0.25950826573137598</c:v>
              </c:pt>
              <c:pt idx="51">
                <c:v>0.2358605393558213</c:v>
              </c:pt>
              <c:pt idx="52">
                <c:v>0.23845230736693956</c:v>
              </c:pt>
              <c:pt idx="53">
                <c:v>0.22813916602561149</c:v>
              </c:pt>
              <c:pt idx="54">
                <c:v>0.22049895295864416</c:v>
              </c:pt>
              <c:pt idx="55">
                <c:v>0.21294024528668654</c:v>
              </c:pt>
              <c:pt idx="56">
                <c:v>0.21043884898824025</c:v>
              </c:pt>
              <c:pt idx="57">
                <c:v>0.20298936369296824</c:v>
              </c:pt>
              <c:pt idx="58">
                <c:v>0.20052448104847956</c:v>
              </c:pt>
              <c:pt idx="59">
                <c:v>0.19562221563531559</c:v>
              </c:pt>
              <c:pt idx="60">
                <c:v>0.19318486025021428</c:v>
              </c:pt>
              <c:pt idx="61">
                <c:v>0.19075670815645471</c:v>
              </c:pt>
              <c:pt idx="62">
                <c:v>0.1883377732794688</c:v>
              </c:pt>
              <c:pt idx="63">
                <c:v>0.18592806964019773</c:v>
              </c:pt>
              <c:pt idx="64">
                <c:v>0.18113641264316127</c:v>
              </c:pt>
              <c:pt idx="65">
                <c:v>0.18113641264316127</c:v>
              </c:pt>
              <c:pt idx="66">
                <c:v>0.17875448781547082</c:v>
              </c:pt>
              <c:pt idx="67">
                <c:v>0.17638185128809322</c:v>
              </c:pt>
              <c:pt idx="68">
                <c:v>0.17401851757750686</c:v>
              </c:pt>
              <c:pt idx="69">
                <c:v>0.17166450130304758</c:v>
              </c:pt>
              <c:pt idx="70">
                <c:v>0.1693198171882119</c:v>
              </c:pt>
              <c:pt idx="71">
                <c:v>0.16698448006198388</c:v>
              </c:pt>
              <c:pt idx="72">
                <c:v>0.16465850486018663</c:v>
              </c:pt>
              <c:pt idx="73">
                <c:v>0.16465850486018663</c:v>
              </c:pt>
              <c:pt idx="74">
                <c:v>0.16234190662685891</c:v>
              </c:pt>
              <c:pt idx="75">
                <c:v>0.1600347005156573</c:v>
              </c:pt>
              <c:pt idx="76">
                <c:v>0.1600347005156573</c:v>
              </c:pt>
              <c:pt idx="77">
                <c:v>0.1600347005156573</c:v>
              </c:pt>
              <c:pt idx="78">
                <c:v>0.15773690179128441</c:v>
              </c:pt>
              <c:pt idx="79">
                <c:v>0.15544852583094429</c:v>
              </c:pt>
              <c:pt idx="80">
                <c:v>0.15316958812582546</c:v>
              </c:pt>
              <c:pt idx="81">
                <c:v>0.150900104282612</c:v>
              </c:pt>
              <c:pt idx="82">
                <c:v>0.150900104282612</c:v>
              </c:pt>
              <c:pt idx="83">
                <c:v>0.150900104282612</c:v>
              </c:pt>
              <c:pt idx="84">
                <c:v>0.150900104282612</c:v>
              </c:pt>
              <c:pt idx="85">
                <c:v>0.14864009002502351</c:v>
              </c:pt>
              <c:pt idx="86">
                <c:v>0.14638956119538535</c:v>
              </c:pt>
              <c:pt idx="87">
                <c:v>0.14414853375622838</c:v>
              </c:pt>
              <c:pt idx="88">
                <c:v>0.14414853375622838</c:v>
              </c:pt>
              <c:pt idx="89">
                <c:v>0.14414853375622838</c:v>
              </c:pt>
              <c:pt idx="90">
                <c:v>0.14414853375622838</c:v>
              </c:pt>
              <c:pt idx="91">
                <c:v>0.141917023791921</c:v>
              </c:pt>
              <c:pt idx="92">
                <c:v>0.13969504751033232</c:v>
              </c:pt>
              <c:pt idx="93">
                <c:v>0.13969504751033232</c:v>
              </c:pt>
              <c:pt idx="94">
                <c:v>0.13969504751033232</c:v>
              </c:pt>
              <c:pt idx="95">
                <c:v>0.13748262124452881</c:v>
              </c:pt>
              <c:pt idx="96">
                <c:v>0.13748262124452881</c:v>
              </c:pt>
              <c:pt idx="97">
                <c:v>0.13748262124452881</c:v>
              </c:pt>
              <c:pt idx="98">
                <c:v>0.13969504751033232</c:v>
              </c:pt>
              <c:pt idx="99">
                <c:v>0.141917023791921</c:v>
              </c:pt>
              <c:pt idx="100">
                <c:v>0.14414853375622838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BC5A-46DC-8108-664D430B89BE}"/>
            </c:ext>
          </c:extLst>
        </c:ser>
        <c:ser>
          <c:idx val="15"/>
          <c:order val="15"/>
          <c:spPr>
            <a:ln w="31750" cap="rnd" cmpd="sng" algn="ctr">
              <a:noFill/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#N/A</c:v>
              </c:pt>
              <c:pt idx="1">
                <c:v>0</c:v>
              </c:pt>
              <c:pt idx="2">
                <c:v>1.0309196725878716E-2</c:v>
              </c:pt>
              <c:pt idx="3">
                <c:v>2.0618393451757432E-2</c:v>
              </c:pt>
              <c:pt idx="4">
                <c:v>3.092759017763615E-2</c:v>
              </c:pt>
              <c:pt idx="5">
                <c:v>4.1236786903514865E-2</c:v>
              </c:pt>
              <c:pt idx="6">
                <c:v>5.1545983629393582E-2</c:v>
              </c:pt>
              <c:pt idx="7">
                <c:v>6.18551803552723E-2</c:v>
              </c:pt>
              <c:pt idx="8">
                <c:v>7.2164377081151018E-2</c:v>
              </c:pt>
              <c:pt idx="9">
                <c:v>8.2473573807029729E-2</c:v>
              </c:pt>
              <c:pt idx="10">
                <c:v>9.2782770532908454E-2</c:v>
              </c:pt>
              <c:pt idx="11">
                <c:v>0.10309196725878716</c:v>
              </c:pt>
              <c:pt idx="12">
                <c:v>0.11340116398466588</c:v>
              </c:pt>
              <c:pt idx="13">
                <c:v>0.1237103607105446</c:v>
              </c:pt>
              <c:pt idx="14">
                <c:v>0.13401955743642333</c:v>
              </c:pt>
              <c:pt idx="15">
                <c:v>0.14432875416230204</c:v>
              </c:pt>
              <c:pt idx="16">
                <c:v>0.15463795088818075</c:v>
              </c:pt>
              <c:pt idx="17">
                <c:v>0.16494714761405946</c:v>
              </c:pt>
              <c:pt idx="18">
                <c:v>0.17525634433993817</c:v>
              </c:pt>
              <c:pt idx="19">
                <c:v>0.18556554106581691</c:v>
              </c:pt>
              <c:pt idx="20">
                <c:v>0.19587473779169562</c:v>
              </c:pt>
              <c:pt idx="21">
                <c:v>0.20618393451757433</c:v>
              </c:pt>
              <c:pt idx="22">
                <c:v>0.21649313124345304</c:v>
              </c:pt>
              <c:pt idx="23">
                <c:v>0.22680232796933175</c:v>
              </c:pt>
              <c:pt idx="24">
                <c:v>0.23711152469521049</c:v>
              </c:pt>
              <c:pt idx="25">
                <c:v>0.2474207214210892</c:v>
              </c:pt>
              <c:pt idx="26">
                <c:v>0.25772991814696788</c:v>
              </c:pt>
              <c:pt idx="27">
                <c:v>0.26803911487284665</c:v>
              </c:pt>
              <c:pt idx="28">
                <c:v>0.27834831159872536</c:v>
              </c:pt>
              <c:pt idx="29">
                <c:v>0.28865750832460407</c:v>
              </c:pt>
              <c:pt idx="30">
                <c:v>0.29896670505048278</c:v>
              </c:pt>
              <c:pt idx="31">
                <c:v>0.30927590177636149</c:v>
              </c:pt>
              <c:pt idx="32">
                <c:v>0.31958509850224021</c:v>
              </c:pt>
              <c:pt idx="33">
                <c:v>0.32989429522811892</c:v>
              </c:pt>
              <c:pt idx="34">
                <c:v>0.34020349195399763</c:v>
              </c:pt>
              <c:pt idx="35">
                <c:v>0.35051268867987634</c:v>
              </c:pt>
              <c:pt idx="36">
                <c:v>0.36082188540575505</c:v>
              </c:pt>
              <c:pt idx="37">
                <c:v>0.37113108213163382</c:v>
              </c:pt>
              <c:pt idx="38">
                <c:v>0.38144027885751253</c:v>
              </c:pt>
              <c:pt idx="39">
                <c:v>0.39174947558339124</c:v>
              </c:pt>
              <c:pt idx="40">
                <c:v>0.40205867230926995</c:v>
              </c:pt>
              <c:pt idx="41">
                <c:v>0.41236786903514866</c:v>
              </c:pt>
              <c:pt idx="42">
                <c:v>0.42267706576102737</c:v>
              </c:pt>
              <c:pt idx="43">
                <c:v>0.43298626248690608</c:v>
              </c:pt>
              <c:pt idx="44">
                <c:v>0.44329545921278479</c:v>
              </c:pt>
              <c:pt idx="45">
                <c:v>0.4536046559386635</c:v>
              </c:pt>
              <c:pt idx="46">
                <c:v>0.46391385266454221</c:v>
              </c:pt>
              <c:pt idx="47">
                <c:v>0.47422304939042098</c:v>
              </c:pt>
              <c:pt idx="48">
                <c:v>0.48453224611629969</c:v>
              </c:pt>
              <c:pt idx="49">
                <c:v>0.4948414428421784</c:v>
              </c:pt>
              <c:pt idx="50">
                <c:v>0.49484936043194289</c:v>
              </c:pt>
              <c:pt idx="51">
                <c:v>0.50515063956805706</c:v>
              </c:pt>
              <c:pt idx="52">
                <c:v>0.50515855715782165</c:v>
              </c:pt>
              <c:pt idx="53">
                <c:v>0.51546775388370036</c:v>
              </c:pt>
              <c:pt idx="54">
                <c:v>0.52577695060957907</c:v>
              </c:pt>
              <c:pt idx="55">
                <c:v>0.53608614733545779</c:v>
              </c:pt>
              <c:pt idx="56">
                <c:v>0.5463953440613365</c:v>
              </c:pt>
              <c:pt idx="57">
                <c:v>0.55670454078721521</c:v>
              </c:pt>
              <c:pt idx="58">
                <c:v>0.56701373751309392</c:v>
              </c:pt>
              <c:pt idx="59">
                <c:v>0.57732293423897263</c:v>
              </c:pt>
              <c:pt idx="60">
                <c:v>0.58763213096485134</c:v>
              </c:pt>
              <c:pt idx="61">
                <c:v>0.59794132769073005</c:v>
              </c:pt>
              <c:pt idx="62">
                <c:v>0.60825052441660876</c:v>
              </c:pt>
              <c:pt idx="63">
                <c:v>0.61855972114248747</c:v>
              </c:pt>
              <c:pt idx="64">
                <c:v>0.62886891786836618</c:v>
              </c:pt>
              <c:pt idx="65">
                <c:v>0.63917811459424489</c:v>
              </c:pt>
              <c:pt idx="66">
                <c:v>0.64948731132012361</c:v>
              </c:pt>
              <c:pt idx="67">
                <c:v>0.65979650804600232</c:v>
              </c:pt>
              <c:pt idx="68">
                <c:v>0.67010570477188103</c:v>
              </c:pt>
              <c:pt idx="69">
                <c:v>0.68041490149775974</c:v>
              </c:pt>
              <c:pt idx="70">
                <c:v>0.69072409822363856</c:v>
              </c:pt>
              <c:pt idx="71">
                <c:v>0.70103329494951727</c:v>
              </c:pt>
              <c:pt idx="72">
                <c:v>0.71134249167539598</c:v>
              </c:pt>
              <c:pt idx="73">
                <c:v>0.72165168840127469</c:v>
              </c:pt>
              <c:pt idx="74">
                <c:v>0.7319608851271534</c:v>
              </c:pt>
              <c:pt idx="75">
                <c:v>0.74227008185303212</c:v>
              </c:pt>
              <c:pt idx="76">
                <c:v>0.75257927857891083</c:v>
              </c:pt>
              <c:pt idx="77">
                <c:v>0.76288847530478954</c:v>
              </c:pt>
              <c:pt idx="78">
                <c:v>0.77319767203066825</c:v>
              </c:pt>
              <c:pt idx="79">
                <c:v>0.78350686875654696</c:v>
              </c:pt>
              <c:pt idx="80">
                <c:v>0.79381606548242567</c:v>
              </c:pt>
              <c:pt idx="81">
                <c:v>0.80412526220830438</c:v>
              </c:pt>
              <c:pt idx="82">
                <c:v>0.81443445893418309</c:v>
              </c:pt>
              <c:pt idx="83">
                <c:v>0.8247436556600618</c:v>
              </c:pt>
              <c:pt idx="84">
                <c:v>0.83505285238594051</c:v>
              </c:pt>
              <c:pt idx="85">
                <c:v>0.84536204911181922</c:v>
              </c:pt>
              <c:pt idx="86">
                <c:v>0.85567124583769794</c:v>
              </c:pt>
              <c:pt idx="87">
                <c:v>0.86598044256357665</c:v>
              </c:pt>
              <c:pt idx="88">
                <c:v>0.87628963928945536</c:v>
              </c:pt>
              <c:pt idx="89">
                <c:v>0.88659883601533407</c:v>
              </c:pt>
              <c:pt idx="90">
                <c:v>0.89690803274121289</c:v>
              </c:pt>
              <c:pt idx="91">
                <c:v>0.9072172294670916</c:v>
              </c:pt>
              <c:pt idx="92">
                <c:v>0.91752642619297031</c:v>
              </c:pt>
              <c:pt idx="93">
                <c:v>0.92783562291884902</c:v>
              </c:pt>
              <c:pt idx="94">
                <c:v>0.93814481964472773</c:v>
              </c:pt>
              <c:pt idx="95">
                <c:v>0.94845401637060645</c:v>
              </c:pt>
              <c:pt idx="96">
                <c:v>0.95876321309648516</c:v>
              </c:pt>
              <c:pt idx="97">
                <c:v>0.96907240982236387</c:v>
              </c:pt>
              <c:pt idx="98">
                <c:v>0.97938160654824258</c:v>
              </c:pt>
              <c:pt idx="99">
                <c:v>0.98969080327412129</c:v>
              </c:pt>
              <c:pt idx="100">
                <c:v>1</c:v>
              </c:pt>
            </c:numLit>
          </c:xVal>
          <c:yVal>
            <c:numLit>
              <c:formatCode>General</c:formatCode>
              <c:ptCount val="101"/>
              <c:pt idx="0">
                <c:v>#N/A</c:v>
              </c:pt>
              <c:pt idx="1">
                <c:v>0.1504446142497376</c:v>
              </c:pt>
              <c:pt idx="2">
                <c:v>0.14047367152963783</c:v>
              </c:pt>
              <c:pt idx="3">
                <c:v>0.13263280160454854</c:v>
              </c:pt>
              <c:pt idx="4">
                <c:v>-7.4914786344601435E-3</c:v>
              </c:pt>
              <c:pt idx="5">
                <c:v>0.12109972464113426</c:v>
              </c:pt>
              <c:pt idx="6">
                <c:v>0.12491352563679128</c:v>
              </c:pt>
              <c:pt idx="7">
                <c:v>0.12683190354892956</c:v>
              </c:pt>
              <c:pt idx="8">
                <c:v>0.12875791686439625</c:v>
              </c:pt>
              <c:pt idx="9">
                <c:v>0.11731661199561023</c:v>
              </c:pt>
              <c:pt idx="10">
                <c:v>0.11543659485748696</c:v>
              </c:pt>
              <c:pt idx="11">
                <c:v>0.10984285144130043</c:v>
              </c:pt>
              <c:pt idx="12">
                <c:v>0.1135642872535723</c:v>
              </c:pt>
              <c:pt idx="13">
                <c:v>0.1606029668082706</c:v>
              </c:pt>
              <c:pt idx="14">
                <c:v>0.21415947381610029</c:v>
              </c:pt>
              <c:pt idx="15">
                <c:v>0.21864017386702012</c:v>
              </c:pt>
              <c:pt idx="16">
                <c:v>0.2254150066225368</c:v>
              </c:pt>
              <c:pt idx="17">
                <c:v>0.23684921423048999</c:v>
              </c:pt>
              <c:pt idx="18">
                <c:v>0.28925498682358097</c:v>
              </c:pt>
              <c:pt idx="19">
                <c:v>0.32947755977168564</c:v>
              </c:pt>
              <c:pt idx="20">
                <c:v>0.42911521253142598</c:v>
              </c:pt>
              <c:pt idx="21">
                <c:v>0.43475966471728783</c:v>
              </c:pt>
              <c:pt idx="22">
                <c:v>0.50452182463478124</c:v>
              </c:pt>
              <c:pt idx="23">
                <c:v>0.73224239075795017</c:v>
              </c:pt>
              <c:pt idx="24">
                <c:v>0.82336674967626877</c:v>
              </c:pt>
              <c:pt idx="25">
                <c:v>0.89250852136553993</c:v>
              </c:pt>
              <c:pt idx="26">
                <c:v>0.77729674407315041</c:v>
              </c:pt>
              <c:pt idx="27">
                <c:v>0.84496992470214727</c:v>
              </c:pt>
              <c:pt idx="28">
                <c:v>0.80552789280218906</c:v>
              </c:pt>
              <c:pt idx="29">
                <c:v>0.80552789280218906</c:v>
              </c:pt>
              <c:pt idx="30">
                <c:v>0.75290992413189028</c:v>
              </c:pt>
              <c:pt idx="31">
                <c:v>0.68153070362483137</c:v>
              </c:pt>
              <c:pt idx="32">
                <c:v>0.60965286302031285</c:v>
              </c:pt>
              <c:pt idx="33">
                <c:v>0.54385568602370848</c:v>
              </c:pt>
              <c:pt idx="34">
                <c:v>0.49856627583367352</c:v>
              </c:pt>
              <c:pt idx="35">
                <c:v>0.43193416282398661</c:v>
              </c:pt>
              <c:pt idx="36">
                <c:v>0.38220144023521291</c:v>
              </c:pt>
              <c:pt idx="37">
                <c:v>0.33721405802384297</c:v>
              </c:pt>
              <c:pt idx="38">
                <c:v>0.31166414421178573</c:v>
              </c:pt>
              <c:pt idx="39">
                <c:v>0.28679958608214007</c:v>
              </c:pt>
              <c:pt idx="40">
                <c:v>0.26501374960882068</c:v>
              </c:pt>
              <c:pt idx="41">
                <c:v>0.24846099050266918</c:v>
              </c:pt>
              <c:pt idx="42">
                <c:v>0.23915739884686243</c:v>
              </c:pt>
              <c:pt idx="43">
                <c:v>0.22768759000371633</c:v>
              </c:pt>
              <c:pt idx="44">
                <c:v>0.21864017386702012</c:v>
              </c:pt>
              <c:pt idx="45">
                <c:v>0.20970754342370612</c:v>
              </c:pt>
              <c:pt idx="46">
                <c:v>0.20089028968707937</c:v>
              </c:pt>
              <c:pt idx="47">
                <c:v>0.19435342874390965</c:v>
              </c:pt>
              <c:pt idx="48">
                <c:v>0.18788206778409886</c:v>
              </c:pt>
              <c:pt idx="49">
                <c:v>0.18360434685492485</c:v>
              </c:pt>
              <c:pt idx="50">
                <c:v>0.19870407444483465</c:v>
              </c:pt>
              <c:pt idx="51">
                <c:v>0.17935593468301714</c:v>
              </c:pt>
              <c:pt idx="52">
                <c:v>0.18147647214665935</c:v>
              </c:pt>
              <c:pt idx="53">
                <c:v>0.17303844741284552</c:v>
              </c:pt>
              <c:pt idx="54">
                <c:v>0.16678736399441774</c:v>
              </c:pt>
              <c:pt idx="55">
                <c:v>0.1606029668082706</c:v>
              </c:pt>
              <c:pt idx="56">
                <c:v>0.15855636983681445</c:v>
              </c:pt>
              <c:pt idx="57">
                <c:v>0.15246133641341009</c:v>
              </c:pt>
              <c:pt idx="58">
                <c:v>0.1504446142497376</c:v>
              </c:pt>
              <c:pt idx="59">
                <c:v>0.14643366982078521</c:v>
              </c:pt>
              <c:pt idx="60">
                <c:v>0.14443946996024776</c:v>
              </c:pt>
              <c:pt idx="61">
                <c:v>0.14245280006535363</c:v>
              </c:pt>
              <c:pt idx="62">
                <c:v>0.14047367152963783</c:v>
              </c:pt>
              <c:pt idx="63">
                <c:v>0.13850209582477971</c:v>
              </c:pt>
              <c:pt idx="64">
                <c:v>0.13458164919084079</c:v>
              </c:pt>
              <c:pt idx="65">
                <c:v>0.13458164919084079</c:v>
              </c:pt>
              <c:pt idx="66">
                <c:v>0.13263280160454854</c:v>
              </c:pt>
              <c:pt idx="67">
                <c:v>0.13069155353669418</c:v>
              </c:pt>
              <c:pt idx="68">
                <c:v>0.12875791686439625</c:v>
              </c:pt>
              <c:pt idx="69">
                <c:v>0.12683190354892956</c:v>
              </c:pt>
              <c:pt idx="70">
                <c:v>0.12491352563679128</c:v>
              </c:pt>
              <c:pt idx="71">
                <c:v>0.12300279526078656</c:v>
              </c:pt>
              <c:pt idx="72">
                <c:v>0.12109972464113426</c:v>
              </c:pt>
              <c:pt idx="73">
                <c:v>0.12109972464113426</c:v>
              </c:pt>
              <c:pt idx="74">
                <c:v>0.11920432608659341</c:v>
              </c:pt>
              <c:pt idx="75">
                <c:v>0.11731661199561023</c:v>
              </c:pt>
              <c:pt idx="76">
                <c:v>0.11731661199561023</c:v>
              </c:pt>
              <c:pt idx="77">
                <c:v>0.11731661199561023</c:v>
              </c:pt>
              <c:pt idx="78">
                <c:v>0.11543659485748696</c:v>
              </c:pt>
              <c:pt idx="79">
                <c:v>0.1135642872535723</c:v>
              </c:pt>
              <c:pt idx="80">
                <c:v>0.11169970185847508</c:v>
              </c:pt>
              <c:pt idx="81">
                <c:v>0.10984285144130043</c:v>
              </c:pt>
              <c:pt idx="82">
                <c:v>0.10984285144130043</c:v>
              </c:pt>
              <c:pt idx="83">
                <c:v>0.10984285144130043</c:v>
              </c:pt>
              <c:pt idx="84">
                <c:v>0.10984285144130043</c:v>
              </c:pt>
              <c:pt idx="85">
                <c:v>0.10799374886690991</c:v>
              </c:pt>
              <c:pt idx="86">
                <c:v>0.10615240709720591</c:v>
              </c:pt>
              <c:pt idx="87">
                <c:v>0.10431883919244114</c:v>
              </c:pt>
              <c:pt idx="88">
                <c:v>0.10431883919244114</c:v>
              </c:pt>
              <c:pt idx="89">
                <c:v>0.10431883919244114</c:v>
              </c:pt>
              <c:pt idx="90">
                <c:v>0.10431883919244114</c:v>
              </c:pt>
              <c:pt idx="91">
                <c:v>0.10249305831255326</c:v>
              </c:pt>
              <c:pt idx="92">
                <c:v>0.10067507771852617</c:v>
              </c:pt>
              <c:pt idx="93">
                <c:v>0.10067507771852617</c:v>
              </c:pt>
              <c:pt idx="94">
                <c:v>0.10067507771852617</c:v>
              </c:pt>
              <c:pt idx="95">
                <c:v>9.8864910773777875E-2</c:v>
              </c:pt>
              <c:pt idx="96">
                <c:v>9.8864910773777875E-2</c:v>
              </c:pt>
              <c:pt idx="97">
                <c:v>9.8864910773777875E-2</c:v>
              </c:pt>
              <c:pt idx="98">
                <c:v>0.10067507771852617</c:v>
              </c:pt>
              <c:pt idx="99">
                <c:v>0.10249305831255326</c:v>
              </c:pt>
              <c:pt idx="100">
                <c:v>0.10431883919244114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BC5A-46DC-8108-664D430B89BE}"/>
            </c:ext>
          </c:extLst>
        </c:ser>
        <c:ser>
          <c:idx val="16"/>
          <c:order val="16"/>
          <c:spPr>
            <a:ln w="31750">
              <a:noFill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0.2</c:v>
              </c:pt>
              <c:pt idx="1">
                <c:v>0.35</c:v>
              </c:pt>
            </c:numLit>
          </c:xVal>
          <c:yVal>
            <c:numLit>
              <c:formatCode>General</c:formatCode>
              <c:ptCount val="2"/>
              <c:pt idx="0">
                <c:v>0.51722903110722207</c:v>
              </c:pt>
              <c:pt idx="1">
                <c:v>0.51722903110722207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BC5A-46DC-8108-664D430B89BE}"/>
            </c:ext>
          </c:extLst>
        </c:ser>
        <c:ser>
          <c:idx val="17"/>
          <c:order val="17"/>
          <c:spPr>
            <a:ln w="31750">
              <a:noFill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0.2</c:v>
              </c:pt>
              <c:pt idx="1">
                <c:v>0.35</c:v>
              </c:pt>
            </c:numLit>
          </c:xVal>
          <c:yVal>
            <c:numLit>
              <c:formatCode>General</c:formatCode>
              <c:ptCount val="2"/>
              <c:pt idx="0">
                <c:v>0.40956651884325418</c:v>
              </c:pt>
              <c:pt idx="1">
                <c:v>0.40956651884325418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1-BC5A-46DC-8108-664D430B89BE}"/>
            </c:ext>
          </c:extLst>
        </c:ser>
        <c:ser>
          <c:idx val="18"/>
          <c:order val="18"/>
          <c:spPr>
            <a:ln w="3175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0.2</c:v>
              </c:pt>
              <c:pt idx="1">
                <c:v>0.2</c:v>
              </c:pt>
            </c:numLit>
          </c:xVal>
          <c:yVal>
            <c:numLit>
              <c:formatCode>General</c:formatCode>
              <c:ptCount val="2"/>
              <c:pt idx="0">
                <c:v>0.73387392839515719</c:v>
              </c:pt>
              <c:pt idx="1">
                <c:v>0.4633977749752381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2-BC5A-46DC-8108-664D430B89BE}"/>
            </c:ext>
          </c:extLst>
        </c:ser>
        <c:ser>
          <c:idx val="19"/>
          <c:order val="19"/>
          <c:spPr>
            <a:ln w="3175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0.2</c:v>
              </c:pt>
              <c:pt idx="1">
                <c:v>0.35</c:v>
              </c:pt>
            </c:numLit>
          </c:xVal>
          <c:yVal>
            <c:numLit>
              <c:formatCode>General</c:formatCode>
              <c:ptCount val="2"/>
              <c:pt idx="0">
                <c:v>0.73387392839515719</c:v>
              </c:pt>
              <c:pt idx="1">
                <c:v>0.73387392839515719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3-BC5A-46DC-8108-664D430B89BE}"/>
            </c:ext>
          </c:extLst>
        </c:ser>
        <c:ser>
          <c:idx val="20"/>
          <c:order val="20"/>
          <c:spPr>
            <a:ln w="3175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0.2</c:v>
              </c:pt>
              <c:pt idx="1">
                <c:v>0.35</c:v>
              </c:pt>
            </c:numLit>
          </c:xVal>
          <c:yVal>
            <c:numLit>
              <c:formatCode>General</c:formatCode>
              <c:ptCount val="2"/>
              <c:pt idx="0">
                <c:v>0.4633977749752381</c:v>
              </c:pt>
              <c:pt idx="1">
                <c:v>0.4633977749752381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4-BC5A-46DC-8108-664D430B89BE}"/>
            </c:ext>
          </c:extLst>
        </c:ser>
        <c:ser>
          <c:idx val="21"/>
          <c:order val="21"/>
          <c:spPr>
            <a:ln w="31750">
              <a:solidFill>
                <a:srgbClr val="00000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0.35</c:v>
              </c:pt>
              <c:pt idx="1">
                <c:v>0.35</c:v>
              </c:pt>
            </c:numLit>
          </c:xVal>
          <c:yVal>
            <c:numLit>
              <c:formatCode>General</c:formatCode>
              <c:ptCount val="2"/>
              <c:pt idx="0">
                <c:v>0.73387392839515719</c:v>
              </c:pt>
              <c:pt idx="1">
                <c:v>0.4633977749752381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5-BC5A-46DC-8108-664D430B8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0648848"/>
        <c:axId val="650651800"/>
      </c:scatterChart>
      <c:valAx>
        <c:axId val="650648848"/>
        <c:scaling>
          <c:orientation val="minMax"/>
          <c:max val="1"/>
          <c:min val="-1"/>
        </c:scaling>
        <c:delete val="0"/>
        <c:axPos val="b"/>
        <c:numFmt formatCode="[=-1]&quot;4.29&quot;;[=1]&quot;3&quot;" sourceLinked="0"/>
        <c:majorTickMark val="out"/>
        <c:minorTickMark val="none"/>
        <c:tickLblPos val="nextTo"/>
        <c:crossAx val="650651800"/>
        <c:crosses val="autoZero"/>
        <c:crossBetween val="midCat"/>
      </c:valAx>
      <c:valAx>
        <c:axId val="650651800"/>
        <c:scaling>
          <c:orientation val="minMax"/>
          <c:max val="1"/>
          <c:min val="-1"/>
        </c:scaling>
        <c:delete val="0"/>
        <c:axPos val="l"/>
        <c:numFmt formatCode="[=-1]&quot;3&quot;;[=1]&quot;149.8&quot;" sourceLinked="0"/>
        <c:majorTickMark val="out"/>
        <c:minorTickMark val="none"/>
        <c:tickLblPos val="nextTo"/>
        <c:crossAx val="65064884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6818800"/>
        <c:axId val="786811584"/>
      </c:barChart>
      <c:catAx>
        <c:axId val="786818800"/>
        <c:scaling>
          <c:orientation val="minMax"/>
        </c:scaling>
        <c:delete val="0"/>
        <c:axPos val="b"/>
        <c:majorTickMark val="out"/>
        <c:minorTickMark val="none"/>
        <c:tickLblPos val="nextTo"/>
        <c:crossAx val="786811584"/>
        <c:crosses val="autoZero"/>
        <c:auto val="1"/>
        <c:lblAlgn val="ctr"/>
        <c:lblOffset val="100"/>
        <c:noMultiLvlLbl val="0"/>
      </c:catAx>
      <c:valAx>
        <c:axId val="78681158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868188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solidFill>
                <a:srgbClr val="FF0000"/>
              </a:solidFill>
            </a:ln>
          </c:spPr>
          <c:marker>
            <c:spPr>
              <a:ln w="19050">
                <a:solidFill>
                  <a:srgbClr val="FF0000"/>
                </a:solidFill>
              </a:ln>
            </c:spPr>
          </c:marker>
          <c:xVal>
            <c:numLit>
              <c:formatCode>General</c:formatCode>
              <c:ptCount val="9"/>
              <c:pt idx="0">
                <c:v>1.9</c:v>
              </c:pt>
              <c:pt idx="1">
                <c:v>2.2000000000000002</c:v>
              </c:pt>
              <c:pt idx="2">
                <c:v>2.5</c:v>
              </c:pt>
              <c:pt idx="3">
                <c:v>2.8</c:v>
              </c:pt>
              <c:pt idx="4">
                <c:v>3.1</c:v>
              </c:pt>
              <c:pt idx="5">
                <c:v>3.4</c:v>
              </c:pt>
              <c:pt idx="6">
                <c:v>3.7</c:v>
              </c:pt>
              <c:pt idx="7">
                <c:v>4</c:v>
              </c:pt>
              <c:pt idx="8">
                <c:v>4.3</c:v>
              </c:pt>
            </c:numLit>
          </c:xVal>
          <c:yVal>
            <c:numLit>
              <c:formatCode>General</c:formatCode>
              <c:ptCount val="9"/>
              <c:pt idx="0">
                <c:v>2.3999999999999981</c:v>
              </c:pt>
              <c:pt idx="1">
                <c:v>1.8400000000000003</c:v>
              </c:pt>
              <c:pt idx="2">
                <c:v>1.4300000000000004</c:v>
              </c:pt>
              <c:pt idx="3">
                <c:v>1.05</c:v>
              </c:pt>
              <c:pt idx="4">
                <c:v>0.7200000000000002</c:v>
              </c:pt>
              <c:pt idx="5">
                <c:v>0.45999999999999996</c:v>
              </c:pt>
              <c:pt idx="6">
                <c:v>0.22999999999999998</c:v>
              </c:pt>
              <c:pt idx="7">
                <c:v>0.04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6FDE-4011-9358-B09574043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253000"/>
        <c:axId val="799251032"/>
      </c:scatterChart>
      <c:scatterChart>
        <c:scatterStyle val="lineMarker"/>
        <c:varyColors val="0"/>
        <c:ser>
          <c:idx val="1"/>
          <c:order val="1"/>
          <c:spPr>
            <a:ln w="19050">
              <a:solidFill>
                <a:srgbClr val="0000FF"/>
              </a:solidFill>
            </a:ln>
          </c:spPr>
          <c:marker>
            <c:spPr>
              <a:ln w="19050">
                <a:solidFill>
                  <a:srgbClr val="0000FF"/>
                </a:solidFill>
              </a:ln>
            </c:spPr>
          </c:marker>
          <c:xVal>
            <c:numLit>
              <c:formatCode>General</c:formatCode>
              <c:ptCount val="9"/>
              <c:pt idx="0">
                <c:v>1.9</c:v>
              </c:pt>
              <c:pt idx="1">
                <c:v>2.2000000000000002</c:v>
              </c:pt>
              <c:pt idx="2">
                <c:v>2.5</c:v>
              </c:pt>
              <c:pt idx="3">
                <c:v>2.8</c:v>
              </c:pt>
              <c:pt idx="4">
                <c:v>3.1</c:v>
              </c:pt>
              <c:pt idx="5">
                <c:v>3.4</c:v>
              </c:pt>
              <c:pt idx="6">
                <c:v>3.7</c:v>
              </c:pt>
              <c:pt idx="7">
                <c:v>4</c:v>
              </c:pt>
              <c:pt idx="8">
                <c:v>4.3</c:v>
              </c:pt>
            </c:numLit>
          </c:xVal>
          <c:yVal>
            <c:numLit>
              <c:formatCode>General</c:formatCode>
              <c:ptCount val="9"/>
              <c:pt idx="0">
                <c:v>1095.5</c:v>
              </c:pt>
              <c:pt idx="1">
                <c:v>959.2</c:v>
              </c:pt>
              <c:pt idx="2">
                <c:v>845.6</c:v>
              </c:pt>
              <c:pt idx="3">
                <c:v>724.6</c:v>
              </c:pt>
              <c:pt idx="4">
                <c:v>600</c:v>
              </c:pt>
              <c:pt idx="5">
                <c:v>479.6</c:v>
              </c:pt>
              <c:pt idx="6">
                <c:v>339.1</c:v>
              </c:pt>
              <c:pt idx="7">
                <c:v>141.4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6FDE-4011-9358-B09574043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261200"/>
        <c:axId val="799264480"/>
      </c:scatterChart>
      <c:valAx>
        <c:axId val="799253000"/>
        <c:scaling>
          <c:orientation val="minMax"/>
          <c:max val="4.5"/>
          <c:min val="1.9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GB"/>
                  <a:t>h</a:t>
                </a:r>
                <a:r>
                  <a:rPr lang="en-GB" baseline="-25000"/>
                  <a:t>T</a:t>
                </a:r>
                <a:r>
                  <a:rPr lang="en-GB"/>
                  <a:t>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9251032"/>
        <c:crosses val="autoZero"/>
        <c:crossBetween val="midCat"/>
      </c:valAx>
      <c:valAx>
        <c:axId val="7992510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en-GB"/>
                  <a:t>FEV (Mm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9253000"/>
        <c:crosses val="autoZero"/>
        <c:crossBetween val="midCat"/>
      </c:valAx>
      <c:valAx>
        <c:axId val="79926448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200"/>
                </a:pPr>
                <a:r>
                  <a:rPr lang="en-GB"/>
                  <a:t>Square Lake Side Length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99261200"/>
        <c:crosses val="max"/>
        <c:crossBetween val="midCat"/>
      </c:valAx>
      <c:valAx>
        <c:axId val="7992612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9926448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5141608"/>
        <c:axId val="705142264"/>
      </c:barChart>
      <c:catAx>
        <c:axId val="705141608"/>
        <c:scaling>
          <c:orientation val="minMax"/>
        </c:scaling>
        <c:delete val="0"/>
        <c:axPos val="b"/>
        <c:majorTickMark val="out"/>
        <c:minorTickMark val="none"/>
        <c:tickLblPos val="nextTo"/>
        <c:crossAx val="705142264"/>
        <c:crosses val="autoZero"/>
        <c:auto val="1"/>
        <c:lblAlgn val="ctr"/>
        <c:lblOffset val="100"/>
        <c:noMultiLvlLbl val="0"/>
      </c:catAx>
      <c:valAx>
        <c:axId val="70514226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051416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6391392"/>
        <c:axId val="522650768"/>
      </c:barChart>
      <c:catAx>
        <c:axId val="606391392"/>
        <c:scaling>
          <c:orientation val="minMax"/>
        </c:scaling>
        <c:delete val="0"/>
        <c:axPos val="b"/>
        <c:majorTickMark val="out"/>
        <c:minorTickMark val="none"/>
        <c:tickLblPos val="nextTo"/>
        <c:crossAx val="522650768"/>
        <c:crosses val="autoZero"/>
        <c:auto val="1"/>
        <c:lblAlgn val="ctr"/>
        <c:lblOffset val="100"/>
        <c:noMultiLvlLbl val="0"/>
      </c:catAx>
      <c:valAx>
        <c:axId val="52265076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063913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8AC93FF-27B0-42C8-B0FC-4FC141CBB984}">
  <sheetPr codeName="Chart12"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19ADD0B-B41C-47CC-819B-038B451274E9}">
  <sheetPr codeName="Chart4"/>
  <sheetViews>
    <sheetView zoomScale="85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08FEB39-8752-4B1E-B009-2109D15FDEE8}">
  <sheetPr codeName="Chart121"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40600B7-3C8B-4812-BC39-62CA38E35671}">
  <sheetPr codeName="Chart124"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554B356-494E-42E1-978A-3A5529EA0B53}">
  <sheetPr codeName="Chart34"/>
  <sheetViews>
    <sheetView tabSelected="1" zoomScale="86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F44FDBD-C477-4A3F-8663-7C38A1B0CDD4}">
  <sheetPr codeName="Chart36"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628" cy="606941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3267C9-637A-4379-BBC7-E25DF109990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0.88136</cdr:y>
    </cdr:from>
    <cdr:to>
      <cdr:x>0.06832</cdr:x>
      <cdr:y>0.94414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A295055-E87D-4257-9CBB-B926876FD431}"/>
            </a:ext>
          </a:extLst>
        </cdr:cNvPr>
        <cdr:cNvSpPr txBox="1"/>
      </cdr:nvSpPr>
      <cdr:spPr>
        <a:xfrm xmlns:a="http://schemas.openxmlformats.org/drawingml/2006/main">
          <a:off x="0" y="5349358"/>
          <a:ext cx="63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h[m]</a:t>
          </a:r>
        </a:p>
      </cdr:txBody>
    </cdr:sp>
  </cdr:relSizeAnchor>
  <cdr:relSizeAnchor xmlns:cdr="http://schemas.openxmlformats.org/drawingml/2006/chartDrawing">
    <cdr:from>
      <cdr:x>0.85199</cdr:x>
      <cdr:y>0</cdr:y>
    </cdr:from>
    <cdr:to>
      <cdr:x>0.93327</cdr:x>
      <cdr:y>0.05839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47F506FE-ECAF-4B21-BBAD-EF2E8EEC5E53}"/>
            </a:ext>
          </a:extLst>
        </cdr:cNvPr>
        <cdr:cNvSpPr txBox="1"/>
      </cdr:nvSpPr>
      <cdr:spPr>
        <a:xfrm xmlns:a="http://schemas.openxmlformats.org/drawingml/2006/main">
          <a:off x="7918894" y="0"/>
          <a:ext cx="755502" cy="3544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Q[m</a:t>
          </a:r>
          <a:r>
            <a:rPr lang="en-GB" sz="1300" b="1" baseline="30000"/>
            <a:t>3</a:t>
          </a:r>
          <a:r>
            <a:rPr lang="en-GB" sz="1300" b="1"/>
            <a:t>/s]</a:t>
          </a:r>
        </a:p>
      </cdr:txBody>
    </cdr:sp>
  </cdr:relSizeAnchor>
  <cdr:relSizeAnchor xmlns:cdr="http://schemas.openxmlformats.org/drawingml/2006/chartDrawing">
    <cdr:from>
      <cdr:x>0.01309</cdr:x>
      <cdr:y>0.96603</cdr:y>
    </cdr:from>
    <cdr:to>
      <cdr:x>0.98354</cdr:x>
      <cdr:y>0.99231</cdr:y>
    </cdr:to>
    <cdr:sp macro="" textlink="">
      <cdr:nvSpPr>
        <cdr:cNvPr id="4" name="Rectangle 3">
          <a:extLst xmlns:a="http://schemas.openxmlformats.org/drawingml/2006/main">
            <a:ext uri="{FF2B5EF4-FFF2-40B4-BE49-F238E27FC236}">
              <a16:creationId xmlns:a16="http://schemas.microsoft.com/office/drawing/2014/main" id="{FC9A7AED-604B-404D-9DD8-909B110CB81E}"/>
            </a:ext>
          </a:extLst>
        </cdr:cNvPr>
        <cdr:cNvSpPr/>
      </cdr:nvSpPr>
      <cdr:spPr>
        <a:xfrm xmlns:a="http://schemas.openxmlformats.org/drawingml/2006/main">
          <a:off x="121684" y="5863265"/>
          <a:ext cx="9019953" cy="159488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</cdr:x>
      <cdr:y>0.95328</cdr:y>
    </cdr:from>
    <cdr:to>
      <cdr:x>0.05338</cdr:x>
      <cdr:y>1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14A81504-8FE9-474E-8EA2-AEFC120BBFE5}"/>
            </a:ext>
          </a:extLst>
        </cdr:cNvPr>
        <cdr:cNvSpPr txBox="1"/>
      </cdr:nvSpPr>
      <cdr:spPr>
        <a:xfrm xmlns:a="http://schemas.openxmlformats.org/drawingml/2006/main">
          <a:off x="0" y="5785884"/>
          <a:ext cx="496186" cy="2835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GB" sz="1100"/>
            <a:t>4.29</a:t>
          </a:r>
        </a:p>
      </cdr:txBody>
    </cdr:sp>
  </cdr:relSizeAnchor>
  <cdr:relSizeAnchor xmlns:cdr="http://schemas.openxmlformats.org/drawingml/2006/chartDrawing">
    <cdr:from>
      <cdr:x>0.10677</cdr:x>
      <cdr:y>0.94891</cdr:y>
    </cdr:from>
    <cdr:to>
      <cdr:x>0.12869</cdr:x>
      <cdr:y>0.96788</cdr:y>
    </cdr:to>
    <cdr:sp macro="" textlink="">
      <cdr:nvSpPr>
        <cdr:cNvPr id="6" name="Rectangle 5">
          <a:extLst xmlns:a="http://schemas.openxmlformats.org/drawingml/2006/main">
            <a:ext uri="{FF2B5EF4-FFF2-40B4-BE49-F238E27FC236}">
              <a16:creationId xmlns:a16="http://schemas.microsoft.com/office/drawing/2014/main" id="{9AB361B4-39FE-4A6D-A50D-D7509406A7BE}"/>
            </a:ext>
          </a:extLst>
        </cdr:cNvPr>
        <cdr:cNvSpPr/>
      </cdr:nvSpPr>
      <cdr:spPr>
        <a:xfrm xmlns:a="http://schemas.openxmlformats.org/drawingml/2006/main">
          <a:off x="992372" y="5759303"/>
          <a:ext cx="203791" cy="11518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0.30766</cdr:x>
      <cdr:y>0.94852</cdr:y>
    </cdr:from>
    <cdr:to>
      <cdr:x>0.32958</cdr:x>
      <cdr:y>0.96749</cdr:y>
    </cdr:to>
    <cdr:sp macro="" textlink="">
      <cdr:nvSpPr>
        <cdr:cNvPr id="7" name="Rectangle 6">
          <a:extLst xmlns:a="http://schemas.openxmlformats.org/drawingml/2006/main">
            <a:ext uri="{FF2B5EF4-FFF2-40B4-BE49-F238E27FC236}">
              <a16:creationId xmlns:a16="http://schemas.microsoft.com/office/drawing/2014/main" id="{DE2FD4BF-8001-4952-9534-28E516D8D0EC}"/>
            </a:ext>
          </a:extLst>
        </cdr:cNvPr>
        <cdr:cNvSpPr/>
      </cdr:nvSpPr>
      <cdr:spPr>
        <a:xfrm xmlns:a="http://schemas.openxmlformats.org/drawingml/2006/main">
          <a:off x="2859568" y="5756940"/>
          <a:ext cx="203791" cy="11518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0.48974</cdr:x>
      <cdr:y>0.94852</cdr:y>
    </cdr:from>
    <cdr:to>
      <cdr:x>0.51166</cdr:x>
      <cdr:y>0.96749</cdr:y>
    </cdr:to>
    <cdr:sp macro="" textlink="">
      <cdr:nvSpPr>
        <cdr:cNvPr id="8" name="Rectangle 7">
          <a:extLst xmlns:a="http://schemas.openxmlformats.org/drawingml/2006/main">
            <a:ext uri="{FF2B5EF4-FFF2-40B4-BE49-F238E27FC236}">
              <a16:creationId xmlns:a16="http://schemas.microsoft.com/office/drawing/2014/main" id="{DE2FD4BF-8001-4952-9534-28E516D8D0EC}"/>
            </a:ext>
          </a:extLst>
        </cdr:cNvPr>
        <cdr:cNvSpPr/>
      </cdr:nvSpPr>
      <cdr:spPr>
        <a:xfrm xmlns:a="http://schemas.openxmlformats.org/drawingml/2006/main">
          <a:off x="4551916" y="5756939"/>
          <a:ext cx="203791" cy="11518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0.68611</cdr:x>
      <cdr:y>0.94852</cdr:y>
    </cdr:from>
    <cdr:to>
      <cdr:x>0.70804</cdr:x>
      <cdr:y>0.96749</cdr:y>
    </cdr:to>
    <cdr:sp macro="" textlink="">
      <cdr:nvSpPr>
        <cdr:cNvPr id="9" name="Rectangle 8">
          <a:extLst xmlns:a="http://schemas.openxmlformats.org/drawingml/2006/main">
            <a:ext uri="{FF2B5EF4-FFF2-40B4-BE49-F238E27FC236}">
              <a16:creationId xmlns:a16="http://schemas.microsoft.com/office/drawing/2014/main" id="{DE2FD4BF-8001-4952-9534-28E516D8D0EC}"/>
            </a:ext>
          </a:extLst>
        </cdr:cNvPr>
        <cdr:cNvSpPr/>
      </cdr:nvSpPr>
      <cdr:spPr>
        <a:xfrm xmlns:a="http://schemas.openxmlformats.org/drawingml/2006/main">
          <a:off x="6377172" y="5756940"/>
          <a:ext cx="203791" cy="11518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0.87201</cdr:x>
      <cdr:y>0.94852</cdr:y>
    </cdr:from>
    <cdr:to>
      <cdr:x>0.89393</cdr:x>
      <cdr:y>0.96749</cdr:y>
    </cdr:to>
    <cdr:sp macro="" textlink="">
      <cdr:nvSpPr>
        <cdr:cNvPr id="10" name="Rectangle 9">
          <a:extLst xmlns:a="http://schemas.openxmlformats.org/drawingml/2006/main">
            <a:ext uri="{FF2B5EF4-FFF2-40B4-BE49-F238E27FC236}">
              <a16:creationId xmlns:a16="http://schemas.microsoft.com/office/drawing/2014/main" id="{DE2FD4BF-8001-4952-9534-28E516D8D0EC}"/>
            </a:ext>
          </a:extLst>
        </cdr:cNvPr>
        <cdr:cNvSpPr/>
      </cdr:nvSpPr>
      <cdr:spPr>
        <a:xfrm xmlns:a="http://schemas.openxmlformats.org/drawingml/2006/main">
          <a:off x="8104963" y="5756940"/>
          <a:ext cx="203791" cy="11518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0.19422</cdr:x>
      <cdr:y>0.95436</cdr:y>
    </cdr:from>
    <cdr:to>
      <cdr:x>0.25453</cdr:x>
      <cdr:y>1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14B93B5C-379E-4DD3-A085-90A3F9362243}"/>
            </a:ext>
          </a:extLst>
        </cdr:cNvPr>
        <cdr:cNvSpPr txBox="1"/>
      </cdr:nvSpPr>
      <cdr:spPr>
        <a:xfrm xmlns:a="http://schemas.openxmlformats.org/drawingml/2006/main">
          <a:off x="1805172" y="5792382"/>
          <a:ext cx="560572" cy="2770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horz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3.58</a:t>
          </a:r>
        </a:p>
      </cdr:txBody>
    </cdr:sp>
  </cdr:relSizeAnchor>
  <cdr:relSizeAnchor xmlns:cdr="http://schemas.openxmlformats.org/drawingml/2006/chartDrawing">
    <cdr:from>
      <cdr:x>0.38392</cdr:x>
      <cdr:y>0.95436</cdr:y>
    </cdr:from>
    <cdr:to>
      <cdr:x>0.43947</cdr:x>
      <cdr:y>0.99854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E882459F-57D5-45F4-8829-1FABF8ADA242}"/>
            </a:ext>
          </a:extLst>
        </cdr:cNvPr>
        <cdr:cNvSpPr txBox="1"/>
      </cdr:nvSpPr>
      <cdr:spPr>
        <a:xfrm xmlns:a="http://schemas.openxmlformats.org/drawingml/2006/main">
          <a:off x="3568404" y="5792382"/>
          <a:ext cx="516270" cy="2681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horz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2.87</a:t>
          </a:r>
        </a:p>
      </cdr:txBody>
    </cdr:sp>
  </cdr:relSizeAnchor>
  <cdr:relSizeAnchor xmlns:cdr="http://schemas.openxmlformats.org/drawingml/2006/chartDrawing">
    <cdr:from>
      <cdr:x>0.57744</cdr:x>
      <cdr:y>0.95582</cdr:y>
    </cdr:from>
    <cdr:to>
      <cdr:x>0.63584</cdr:x>
      <cdr:y>1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F9594932-212C-4C3D-BE56-BA399AFC0798}"/>
            </a:ext>
          </a:extLst>
        </cdr:cNvPr>
        <cdr:cNvSpPr txBox="1"/>
      </cdr:nvSpPr>
      <cdr:spPr>
        <a:xfrm xmlns:a="http://schemas.openxmlformats.org/drawingml/2006/main">
          <a:off x="5367078" y="5801242"/>
          <a:ext cx="542851" cy="2681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horz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2.16</a:t>
          </a:r>
        </a:p>
      </cdr:txBody>
    </cdr:sp>
  </cdr:relSizeAnchor>
  <cdr:relSizeAnchor xmlns:cdr="http://schemas.openxmlformats.org/drawingml/2006/chartDrawing">
    <cdr:from>
      <cdr:x>0.77</cdr:x>
      <cdr:y>0.95436</cdr:y>
    </cdr:from>
    <cdr:to>
      <cdr:x>0.83127</cdr:x>
      <cdr:y>0.99708</cdr:y>
    </cdr:to>
    <cdr:sp macro="" textlink="">
      <cdr:nvSpPr>
        <cdr:cNvPr id="14" name="TextBox 1">
          <a:extLst xmlns:a="http://schemas.openxmlformats.org/drawingml/2006/main">
            <a:ext uri="{FF2B5EF4-FFF2-40B4-BE49-F238E27FC236}">
              <a16:creationId xmlns:a16="http://schemas.microsoft.com/office/drawing/2014/main" id="{47B7975D-0B98-4984-84A1-32B45DEABE54}"/>
            </a:ext>
          </a:extLst>
        </cdr:cNvPr>
        <cdr:cNvSpPr txBox="1"/>
      </cdr:nvSpPr>
      <cdr:spPr>
        <a:xfrm xmlns:a="http://schemas.openxmlformats.org/drawingml/2006/main">
          <a:off x="7156893" y="5792383"/>
          <a:ext cx="569433" cy="259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horz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1.45</a:t>
          </a:r>
        </a:p>
      </cdr:txBody>
    </cdr:sp>
  </cdr:relSizeAnchor>
  <cdr:relSizeAnchor xmlns:cdr="http://schemas.openxmlformats.org/drawingml/2006/chartDrawing">
    <cdr:from>
      <cdr:x>0.95138</cdr:x>
      <cdr:y>0.0073</cdr:y>
    </cdr:from>
    <cdr:to>
      <cdr:x>0.96759</cdr:x>
      <cdr:y>0.90073</cdr:y>
    </cdr:to>
    <cdr:sp macro="" textlink="">
      <cdr:nvSpPr>
        <cdr:cNvPr id="15" name="Rectangle 14">
          <a:extLst xmlns:a="http://schemas.openxmlformats.org/drawingml/2006/main">
            <a:ext uri="{FF2B5EF4-FFF2-40B4-BE49-F238E27FC236}">
              <a16:creationId xmlns:a16="http://schemas.microsoft.com/office/drawing/2014/main" id="{2D6144A0-9093-41E6-BCE4-0FEF3365BB69}"/>
            </a:ext>
          </a:extLst>
        </cdr:cNvPr>
        <cdr:cNvSpPr/>
      </cdr:nvSpPr>
      <cdr:spPr>
        <a:xfrm xmlns:a="http://schemas.openxmlformats.org/drawingml/2006/main">
          <a:off x="8842745" y="44303"/>
          <a:ext cx="150628" cy="542260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0.9578</cdr:x>
      <cdr:y>0.11202</cdr:y>
    </cdr:from>
    <cdr:to>
      <cdr:x>0.97973</cdr:x>
      <cdr:y>0.131</cdr:y>
    </cdr:to>
    <cdr:sp macro="" textlink="">
      <cdr:nvSpPr>
        <cdr:cNvPr id="16" name="Rectangle 15">
          <a:extLst xmlns:a="http://schemas.openxmlformats.org/drawingml/2006/main">
            <a:ext uri="{FF2B5EF4-FFF2-40B4-BE49-F238E27FC236}">
              <a16:creationId xmlns:a16="http://schemas.microsoft.com/office/drawing/2014/main" id="{52676FF7-240B-4895-B3D6-820555EF77B8}"/>
            </a:ext>
          </a:extLst>
        </cdr:cNvPr>
        <cdr:cNvSpPr/>
      </cdr:nvSpPr>
      <cdr:spPr>
        <a:xfrm xmlns:a="http://schemas.openxmlformats.org/drawingml/2006/main">
          <a:off x="8902405" y="679894"/>
          <a:ext cx="203791" cy="11518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0.9578</cdr:x>
      <cdr:y>0.2945</cdr:y>
    </cdr:from>
    <cdr:to>
      <cdr:x>0.97973</cdr:x>
      <cdr:y>0.31348</cdr:y>
    </cdr:to>
    <cdr:sp macro="" textlink="">
      <cdr:nvSpPr>
        <cdr:cNvPr id="17" name="Rectangle 16">
          <a:extLst xmlns:a="http://schemas.openxmlformats.org/drawingml/2006/main">
            <a:ext uri="{FF2B5EF4-FFF2-40B4-BE49-F238E27FC236}">
              <a16:creationId xmlns:a16="http://schemas.microsoft.com/office/drawing/2014/main" id="{52676FF7-240B-4895-B3D6-820555EF77B8}"/>
            </a:ext>
          </a:extLst>
        </cdr:cNvPr>
        <cdr:cNvSpPr/>
      </cdr:nvSpPr>
      <cdr:spPr>
        <a:xfrm xmlns:a="http://schemas.openxmlformats.org/drawingml/2006/main">
          <a:off x="8902405" y="1787451"/>
          <a:ext cx="203791" cy="11518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0.9578</cdr:x>
      <cdr:y>0.4799</cdr:y>
    </cdr:from>
    <cdr:to>
      <cdr:x>0.97973</cdr:x>
      <cdr:y>0.49888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52676FF7-240B-4895-B3D6-820555EF77B8}"/>
            </a:ext>
          </a:extLst>
        </cdr:cNvPr>
        <cdr:cNvSpPr/>
      </cdr:nvSpPr>
      <cdr:spPr>
        <a:xfrm xmlns:a="http://schemas.openxmlformats.org/drawingml/2006/main">
          <a:off x="8902405" y="2912730"/>
          <a:ext cx="203791" cy="11518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/>
            <a:t>v</a:t>
          </a:r>
        </a:p>
      </cdr:txBody>
    </cdr:sp>
  </cdr:relSizeAnchor>
  <cdr:relSizeAnchor xmlns:cdr="http://schemas.openxmlformats.org/drawingml/2006/chartDrawing">
    <cdr:from>
      <cdr:x>0.9578</cdr:x>
      <cdr:y>0.66384</cdr:y>
    </cdr:from>
    <cdr:to>
      <cdr:x>0.97973</cdr:x>
      <cdr:y>0.68282</cdr:y>
    </cdr:to>
    <cdr:sp macro="" textlink="">
      <cdr:nvSpPr>
        <cdr:cNvPr id="19" name="Rectangle 18">
          <a:extLst xmlns:a="http://schemas.openxmlformats.org/drawingml/2006/main">
            <a:ext uri="{FF2B5EF4-FFF2-40B4-BE49-F238E27FC236}">
              <a16:creationId xmlns:a16="http://schemas.microsoft.com/office/drawing/2014/main" id="{040E9CF4-8025-42A7-B34E-92E2616BBA67}"/>
            </a:ext>
          </a:extLst>
        </cdr:cNvPr>
        <cdr:cNvSpPr/>
      </cdr:nvSpPr>
      <cdr:spPr>
        <a:xfrm xmlns:a="http://schemas.openxmlformats.org/drawingml/2006/main">
          <a:off x="8902405" y="4029149"/>
          <a:ext cx="203791" cy="11518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0.9578</cdr:x>
      <cdr:y>0.84341</cdr:y>
    </cdr:from>
    <cdr:to>
      <cdr:x>0.97973</cdr:x>
      <cdr:y>0.86238</cdr:y>
    </cdr:to>
    <cdr:sp macro="" textlink="">
      <cdr:nvSpPr>
        <cdr:cNvPr id="20" name="Rectangle 19">
          <a:extLst xmlns:a="http://schemas.openxmlformats.org/drawingml/2006/main">
            <a:ext uri="{FF2B5EF4-FFF2-40B4-BE49-F238E27FC236}">
              <a16:creationId xmlns:a16="http://schemas.microsoft.com/office/drawing/2014/main" id="{040E9CF4-8025-42A7-B34E-92E2616BBA67}"/>
            </a:ext>
          </a:extLst>
        </cdr:cNvPr>
        <cdr:cNvSpPr/>
      </cdr:nvSpPr>
      <cdr:spPr>
        <a:xfrm xmlns:a="http://schemas.openxmlformats.org/drawingml/2006/main">
          <a:off x="8902405" y="5118986"/>
          <a:ext cx="203791" cy="11518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0.9273</cdr:x>
      <cdr:y>0.00146</cdr:y>
    </cdr:from>
    <cdr:to>
      <cdr:x>0.99237</cdr:x>
      <cdr:y>0.04818</cdr:y>
    </cdr:to>
    <cdr:sp macro="" textlink="">
      <cdr:nvSpPr>
        <cdr:cNvPr id="21" name="TextBox 1">
          <a:extLst xmlns:a="http://schemas.openxmlformats.org/drawingml/2006/main">
            <a:ext uri="{FF2B5EF4-FFF2-40B4-BE49-F238E27FC236}">
              <a16:creationId xmlns:a16="http://schemas.microsoft.com/office/drawing/2014/main" id="{EC6BC853-2CE8-4841-A2FE-7C2D2190B5FB}"/>
            </a:ext>
          </a:extLst>
        </cdr:cNvPr>
        <cdr:cNvSpPr txBox="1"/>
      </cdr:nvSpPr>
      <cdr:spPr>
        <a:xfrm xmlns:a="http://schemas.openxmlformats.org/drawingml/2006/main">
          <a:off x="8618869" y="8861"/>
          <a:ext cx="604875" cy="2835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149.8</a:t>
          </a:r>
        </a:p>
      </cdr:txBody>
    </cdr:sp>
  </cdr:relSizeAnchor>
  <cdr:relSizeAnchor xmlns:cdr="http://schemas.openxmlformats.org/drawingml/2006/chartDrawing">
    <cdr:from>
      <cdr:x>0.9273</cdr:x>
      <cdr:y>0.18647</cdr:y>
    </cdr:from>
    <cdr:to>
      <cdr:x>0.99237</cdr:x>
      <cdr:y>0.23319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7833D2B8-A08F-4C00-9C9F-FC787FED0819}"/>
            </a:ext>
          </a:extLst>
        </cdr:cNvPr>
        <cdr:cNvSpPr txBox="1"/>
      </cdr:nvSpPr>
      <cdr:spPr>
        <a:xfrm xmlns:a="http://schemas.openxmlformats.org/drawingml/2006/main">
          <a:off x="8618869" y="1131777"/>
          <a:ext cx="604875" cy="2835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121.9</a:t>
          </a:r>
        </a:p>
      </cdr:txBody>
    </cdr:sp>
  </cdr:relSizeAnchor>
  <cdr:relSizeAnchor xmlns:cdr="http://schemas.openxmlformats.org/drawingml/2006/chartDrawing">
    <cdr:from>
      <cdr:x>0.94636</cdr:x>
      <cdr:y>0.37041</cdr:y>
    </cdr:from>
    <cdr:to>
      <cdr:x>0.99523</cdr:x>
      <cdr:y>0.41314</cdr:y>
    </cdr:to>
    <cdr:sp macro="" textlink="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7833D2B8-A08F-4C00-9C9F-FC787FED0819}"/>
            </a:ext>
          </a:extLst>
        </cdr:cNvPr>
        <cdr:cNvSpPr txBox="1"/>
      </cdr:nvSpPr>
      <cdr:spPr>
        <a:xfrm xmlns:a="http://schemas.openxmlformats.org/drawingml/2006/main">
          <a:off x="8796079" y="2248197"/>
          <a:ext cx="454247" cy="259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94</a:t>
          </a:r>
        </a:p>
      </cdr:txBody>
    </cdr:sp>
  </cdr:relSizeAnchor>
  <cdr:relSizeAnchor xmlns:cdr="http://schemas.openxmlformats.org/drawingml/2006/chartDrawing">
    <cdr:from>
      <cdr:x>0.93778</cdr:x>
      <cdr:y>0.55582</cdr:y>
    </cdr:from>
    <cdr:to>
      <cdr:x>0.99047</cdr:x>
      <cdr:y>0.59708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7833D2B8-A08F-4C00-9C9F-FC787FED0819}"/>
            </a:ext>
          </a:extLst>
        </cdr:cNvPr>
        <cdr:cNvSpPr txBox="1"/>
      </cdr:nvSpPr>
      <cdr:spPr>
        <a:xfrm xmlns:a="http://schemas.openxmlformats.org/drawingml/2006/main">
          <a:off x="8716336" y="3373476"/>
          <a:ext cx="489688" cy="2504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66.1</a:t>
          </a:r>
        </a:p>
      </cdr:txBody>
    </cdr:sp>
  </cdr:relSizeAnchor>
  <cdr:relSizeAnchor xmlns:cdr="http://schemas.openxmlformats.org/drawingml/2006/chartDrawing">
    <cdr:from>
      <cdr:x>0.93683</cdr:x>
      <cdr:y>0.73976</cdr:y>
    </cdr:from>
    <cdr:to>
      <cdr:x>0.98761</cdr:x>
      <cdr:y>0.78978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E7B1539D-F00B-4490-9948-4439ED4E5FC0}"/>
            </a:ext>
          </a:extLst>
        </cdr:cNvPr>
        <cdr:cNvSpPr txBox="1"/>
      </cdr:nvSpPr>
      <cdr:spPr>
        <a:xfrm xmlns:a="http://schemas.openxmlformats.org/drawingml/2006/main">
          <a:off x="8707474" y="4489893"/>
          <a:ext cx="471967" cy="3036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horz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/>
            <a:t>38.2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7435" cy="60691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1D4AE6-9C6A-45A3-9250-19EF9FD8373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0.5989</cdr:x>
      <cdr:y>0.02323</cdr:y>
    </cdr:from>
    <cdr:to>
      <cdr:x>0.67349</cdr:x>
      <cdr:y>0.28029</cdr:y>
    </cdr:to>
    <cdr:sp macro="" textlink="">
      <cdr:nvSpPr>
        <cdr:cNvPr id="60" name="Freeform: Shape 59">
          <a:extLst xmlns:a="http://schemas.openxmlformats.org/drawingml/2006/main">
            <a:ext uri="{FF2B5EF4-FFF2-40B4-BE49-F238E27FC236}">
              <a16:creationId xmlns:a16="http://schemas.microsoft.com/office/drawing/2014/main" id="{1FFF036C-E833-4212-8DC3-13B48ABC2BEF}"/>
            </a:ext>
          </a:extLst>
        </cdr:cNvPr>
        <cdr:cNvSpPr/>
      </cdr:nvSpPr>
      <cdr:spPr>
        <a:xfrm xmlns:a="http://schemas.openxmlformats.org/drawingml/2006/main">
          <a:off x="5566552" y="141001"/>
          <a:ext cx="693291" cy="1560207"/>
        </a:xfrm>
        <a:custGeom xmlns:a="http://schemas.openxmlformats.org/drawingml/2006/main">
          <a:avLst/>
          <a:gdLst>
            <a:gd name="connsiteX0" fmla="*/ 1554596 w 1554596"/>
            <a:gd name="connsiteY0" fmla="*/ 1480853 h 2893708"/>
            <a:gd name="connsiteX1" fmla="*/ 0 w 1554596"/>
            <a:gd name="connsiteY1" fmla="*/ 2893708 h 2893708"/>
            <a:gd name="connsiteX2" fmla="*/ 0 w 1554596"/>
            <a:gd name="connsiteY2" fmla="*/ 2893708 h 2893708"/>
            <a:gd name="connsiteX3" fmla="*/ 0 w 1554596"/>
            <a:gd name="connsiteY3" fmla="*/ 2893708 h 2893708"/>
            <a:gd name="connsiteX4" fmla="*/ 0 w 1554596"/>
            <a:gd name="connsiteY4" fmla="*/ 2893708 h 2893708"/>
            <a:gd name="connsiteX5" fmla="*/ 0 w 1554596"/>
            <a:gd name="connsiteY5" fmla="*/ 2893708 h 2893708"/>
            <a:gd name="connsiteX6" fmla="*/ 0 w 1554596"/>
            <a:gd name="connsiteY6" fmla="*/ 2893708 h 2893708"/>
            <a:gd name="connsiteX7" fmla="*/ 0 w 1554596"/>
            <a:gd name="connsiteY7" fmla="*/ 2893708 h 2893708"/>
            <a:gd name="connsiteX8" fmla="*/ 0 w 1554596"/>
            <a:gd name="connsiteY8" fmla="*/ 2893708 h 2893708"/>
            <a:gd name="connsiteX9" fmla="*/ 0 w 1554596"/>
            <a:gd name="connsiteY9" fmla="*/ 2893708 h 2893708"/>
            <a:gd name="connsiteX10" fmla="*/ 0 w 1554596"/>
            <a:gd name="connsiteY10" fmla="*/ 2893708 h 2893708"/>
            <a:gd name="connsiteX11" fmla="*/ 0 w 1554596"/>
            <a:gd name="connsiteY11" fmla="*/ 2893708 h 2893708"/>
            <a:gd name="connsiteX12" fmla="*/ 0 w 1554596"/>
            <a:gd name="connsiteY12" fmla="*/ 2893708 h 2893708"/>
            <a:gd name="connsiteX13" fmla="*/ 0 w 1554596"/>
            <a:gd name="connsiteY13" fmla="*/ 2893708 h 2893708"/>
            <a:gd name="connsiteX14" fmla="*/ 0 w 1554596"/>
            <a:gd name="connsiteY14" fmla="*/ 2893708 h 2893708"/>
            <a:gd name="connsiteX15" fmla="*/ 0 w 1554596"/>
            <a:gd name="connsiteY15" fmla="*/ 2893708 h 2893708"/>
            <a:gd name="connsiteX16" fmla="*/ 0 w 1554596"/>
            <a:gd name="connsiteY16" fmla="*/ 2893708 h 2893708"/>
            <a:gd name="connsiteX17" fmla="*/ 0 w 1554596"/>
            <a:gd name="connsiteY17" fmla="*/ 2893708 h 2893708"/>
            <a:gd name="connsiteX18" fmla="*/ 0 w 1554596"/>
            <a:gd name="connsiteY18" fmla="*/ 2893708 h 2893708"/>
            <a:gd name="connsiteX19" fmla="*/ 0 w 1554596"/>
            <a:gd name="connsiteY19" fmla="*/ 2893708 h 2893708"/>
            <a:gd name="connsiteX20" fmla="*/ 0 w 1554596"/>
            <a:gd name="connsiteY20" fmla="*/ 2893708 h 2893708"/>
            <a:gd name="connsiteX21" fmla="*/ 1550581 w 1554596"/>
            <a:gd name="connsiteY21" fmla="*/ 1484894 h 2893708"/>
            <a:gd name="connsiteX22" fmla="*/ 914468 w 1554596"/>
            <a:gd name="connsiteY22" fmla="*/ 1471768 h 2893708"/>
            <a:gd name="connsiteX23" fmla="*/ 960192 w 1554596"/>
            <a:gd name="connsiteY23" fmla="*/ 1247467 h 2893708"/>
            <a:gd name="connsiteX24" fmla="*/ 1005915 w 1554596"/>
            <a:gd name="connsiteY24" fmla="*/ 515293 h 2893708"/>
            <a:gd name="connsiteX25" fmla="*/ 1051638 w 1554596"/>
            <a:gd name="connsiteY25" fmla="*/ 222307 h 2893708"/>
            <a:gd name="connsiteX26" fmla="*/ 1097362 w 1554596"/>
            <a:gd name="connsiteY26" fmla="*/ 0 h 2893708"/>
            <a:gd name="connsiteX27" fmla="*/ 1143086 w 1554596"/>
            <a:gd name="connsiteY27" fmla="*/ 370432 h 2893708"/>
            <a:gd name="connsiteX28" fmla="*/ 1188809 w 1554596"/>
            <a:gd name="connsiteY28" fmla="*/ 152848 h 2893708"/>
            <a:gd name="connsiteX29" fmla="*/ 1234532 w 1554596"/>
            <a:gd name="connsiteY29" fmla="*/ 279663 h 2893708"/>
            <a:gd name="connsiteX30" fmla="*/ 1280256 w 1554596"/>
            <a:gd name="connsiteY30" fmla="*/ 279663 h 2893708"/>
            <a:gd name="connsiteX31" fmla="*/ 1325979 w 1554596"/>
            <a:gd name="connsiteY31" fmla="*/ 448842 h 2893708"/>
            <a:gd name="connsiteX32" fmla="*/ 1371703 w 1554596"/>
            <a:gd name="connsiteY32" fmla="*/ 678342 h 2893708"/>
            <a:gd name="connsiteX33" fmla="*/ 1417426 w 1554596"/>
            <a:gd name="connsiteY33" fmla="*/ 909446 h 2893708"/>
            <a:gd name="connsiteX34" fmla="*/ 1463149 w 1554596"/>
            <a:gd name="connsiteY34" fmla="*/ 1120999 h 2893708"/>
            <a:gd name="connsiteX35" fmla="*/ 1508873 w 1554596"/>
            <a:gd name="connsiteY35" fmla="*/ 1266615 h 2893708"/>
            <a:gd name="connsiteX36" fmla="*/ 1554596 w 1554596"/>
            <a:gd name="connsiteY36" fmla="*/ 1480853 h 2893708"/>
            <a:gd name="connsiteX0" fmla="*/ 1554596 w 1554596"/>
            <a:gd name="connsiteY0" fmla="*/ 1480853 h 2893708"/>
            <a:gd name="connsiteX1" fmla="*/ 0 w 1554596"/>
            <a:gd name="connsiteY1" fmla="*/ 2893708 h 2893708"/>
            <a:gd name="connsiteX2" fmla="*/ 0 w 1554596"/>
            <a:gd name="connsiteY2" fmla="*/ 2893708 h 2893708"/>
            <a:gd name="connsiteX3" fmla="*/ 0 w 1554596"/>
            <a:gd name="connsiteY3" fmla="*/ 2893708 h 2893708"/>
            <a:gd name="connsiteX4" fmla="*/ 0 w 1554596"/>
            <a:gd name="connsiteY4" fmla="*/ 2893708 h 2893708"/>
            <a:gd name="connsiteX5" fmla="*/ 0 w 1554596"/>
            <a:gd name="connsiteY5" fmla="*/ 2893708 h 2893708"/>
            <a:gd name="connsiteX6" fmla="*/ 0 w 1554596"/>
            <a:gd name="connsiteY6" fmla="*/ 2893708 h 2893708"/>
            <a:gd name="connsiteX7" fmla="*/ 0 w 1554596"/>
            <a:gd name="connsiteY7" fmla="*/ 2893708 h 2893708"/>
            <a:gd name="connsiteX8" fmla="*/ 0 w 1554596"/>
            <a:gd name="connsiteY8" fmla="*/ 2893708 h 2893708"/>
            <a:gd name="connsiteX9" fmla="*/ 0 w 1554596"/>
            <a:gd name="connsiteY9" fmla="*/ 2893708 h 2893708"/>
            <a:gd name="connsiteX10" fmla="*/ 0 w 1554596"/>
            <a:gd name="connsiteY10" fmla="*/ 2893708 h 2893708"/>
            <a:gd name="connsiteX11" fmla="*/ 0 w 1554596"/>
            <a:gd name="connsiteY11" fmla="*/ 2893708 h 2893708"/>
            <a:gd name="connsiteX12" fmla="*/ 0 w 1554596"/>
            <a:gd name="connsiteY12" fmla="*/ 2893708 h 2893708"/>
            <a:gd name="connsiteX13" fmla="*/ 0 w 1554596"/>
            <a:gd name="connsiteY13" fmla="*/ 2893708 h 2893708"/>
            <a:gd name="connsiteX14" fmla="*/ 0 w 1554596"/>
            <a:gd name="connsiteY14" fmla="*/ 2893708 h 2893708"/>
            <a:gd name="connsiteX15" fmla="*/ 0 w 1554596"/>
            <a:gd name="connsiteY15" fmla="*/ 2893708 h 2893708"/>
            <a:gd name="connsiteX16" fmla="*/ 0 w 1554596"/>
            <a:gd name="connsiteY16" fmla="*/ 2893708 h 2893708"/>
            <a:gd name="connsiteX17" fmla="*/ 0 w 1554596"/>
            <a:gd name="connsiteY17" fmla="*/ 2893708 h 2893708"/>
            <a:gd name="connsiteX18" fmla="*/ 0 w 1554596"/>
            <a:gd name="connsiteY18" fmla="*/ 2893708 h 2893708"/>
            <a:gd name="connsiteX19" fmla="*/ 0 w 1554596"/>
            <a:gd name="connsiteY19" fmla="*/ 2893708 h 2893708"/>
            <a:gd name="connsiteX20" fmla="*/ 1550581 w 1554596"/>
            <a:gd name="connsiteY20" fmla="*/ 1484894 h 2893708"/>
            <a:gd name="connsiteX21" fmla="*/ 914468 w 1554596"/>
            <a:gd name="connsiteY21" fmla="*/ 1471768 h 2893708"/>
            <a:gd name="connsiteX22" fmla="*/ 960192 w 1554596"/>
            <a:gd name="connsiteY22" fmla="*/ 1247467 h 2893708"/>
            <a:gd name="connsiteX23" fmla="*/ 1005915 w 1554596"/>
            <a:gd name="connsiteY23" fmla="*/ 515293 h 2893708"/>
            <a:gd name="connsiteX24" fmla="*/ 1051638 w 1554596"/>
            <a:gd name="connsiteY24" fmla="*/ 222307 h 2893708"/>
            <a:gd name="connsiteX25" fmla="*/ 1097362 w 1554596"/>
            <a:gd name="connsiteY25" fmla="*/ 0 h 2893708"/>
            <a:gd name="connsiteX26" fmla="*/ 1143086 w 1554596"/>
            <a:gd name="connsiteY26" fmla="*/ 370432 h 2893708"/>
            <a:gd name="connsiteX27" fmla="*/ 1188809 w 1554596"/>
            <a:gd name="connsiteY27" fmla="*/ 152848 h 2893708"/>
            <a:gd name="connsiteX28" fmla="*/ 1234532 w 1554596"/>
            <a:gd name="connsiteY28" fmla="*/ 279663 h 2893708"/>
            <a:gd name="connsiteX29" fmla="*/ 1280256 w 1554596"/>
            <a:gd name="connsiteY29" fmla="*/ 279663 h 2893708"/>
            <a:gd name="connsiteX30" fmla="*/ 1325979 w 1554596"/>
            <a:gd name="connsiteY30" fmla="*/ 448842 h 2893708"/>
            <a:gd name="connsiteX31" fmla="*/ 1371703 w 1554596"/>
            <a:gd name="connsiteY31" fmla="*/ 678342 h 2893708"/>
            <a:gd name="connsiteX32" fmla="*/ 1417426 w 1554596"/>
            <a:gd name="connsiteY32" fmla="*/ 909446 h 2893708"/>
            <a:gd name="connsiteX33" fmla="*/ 1463149 w 1554596"/>
            <a:gd name="connsiteY33" fmla="*/ 1120999 h 2893708"/>
            <a:gd name="connsiteX34" fmla="*/ 1508873 w 1554596"/>
            <a:gd name="connsiteY34" fmla="*/ 1266615 h 2893708"/>
            <a:gd name="connsiteX35" fmla="*/ 1554596 w 1554596"/>
            <a:gd name="connsiteY35" fmla="*/ 1480853 h 2893708"/>
            <a:gd name="connsiteX0" fmla="*/ 1554596 w 1554596"/>
            <a:gd name="connsiteY0" fmla="*/ 1480853 h 2893708"/>
            <a:gd name="connsiteX1" fmla="*/ 0 w 1554596"/>
            <a:gd name="connsiteY1" fmla="*/ 2893708 h 2893708"/>
            <a:gd name="connsiteX2" fmla="*/ 0 w 1554596"/>
            <a:gd name="connsiteY2" fmla="*/ 2893708 h 2893708"/>
            <a:gd name="connsiteX3" fmla="*/ 0 w 1554596"/>
            <a:gd name="connsiteY3" fmla="*/ 2893708 h 2893708"/>
            <a:gd name="connsiteX4" fmla="*/ 0 w 1554596"/>
            <a:gd name="connsiteY4" fmla="*/ 2893708 h 2893708"/>
            <a:gd name="connsiteX5" fmla="*/ 0 w 1554596"/>
            <a:gd name="connsiteY5" fmla="*/ 2893708 h 2893708"/>
            <a:gd name="connsiteX6" fmla="*/ 0 w 1554596"/>
            <a:gd name="connsiteY6" fmla="*/ 2893708 h 2893708"/>
            <a:gd name="connsiteX7" fmla="*/ 0 w 1554596"/>
            <a:gd name="connsiteY7" fmla="*/ 2893708 h 2893708"/>
            <a:gd name="connsiteX8" fmla="*/ 0 w 1554596"/>
            <a:gd name="connsiteY8" fmla="*/ 2893708 h 2893708"/>
            <a:gd name="connsiteX9" fmla="*/ 0 w 1554596"/>
            <a:gd name="connsiteY9" fmla="*/ 2893708 h 2893708"/>
            <a:gd name="connsiteX10" fmla="*/ 0 w 1554596"/>
            <a:gd name="connsiteY10" fmla="*/ 2893708 h 2893708"/>
            <a:gd name="connsiteX11" fmla="*/ 0 w 1554596"/>
            <a:gd name="connsiteY11" fmla="*/ 2893708 h 2893708"/>
            <a:gd name="connsiteX12" fmla="*/ 0 w 1554596"/>
            <a:gd name="connsiteY12" fmla="*/ 2893708 h 2893708"/>
            <a:gd name="connsiteX13" fmla="*/ 0 w 1554596"/>
            <a:gd name="connsiteY13" fmla="*/ 2893708 h 2893708"/>
            <a:gd name="connsiteX14" fmla="*/ 0 w 1554596"/>
            <a:gd name="connsiteY14" fmla="*/ 2893708 h 2893708"/>
            <a:gd name="connsiteX15" fmla="*/ 0 w 1554596"/>
            <a:gd name="connsiteY15" fmla="*/ 2893708 h 2893708"/>
            <a:gd name="connsiteX16" fmla="*/ 0 w 1554596"/>
            <a:gd name="connsiteY16" fmla="*/ 2893708 h 2893708"/>
            <a:gd name="connsiteX17" fmla="*/ 0 w 1554596"/>
            <a:gd name="connsiteY17" fmla="*/ 2893708 h 2893708"/>
            <a:gd name="connsiteX18" fmla="*/ 0 w 1554596"/>
            <a:gd name="connsiteY18" fmla="*/ 2893708 h 2893708"/>
            <a:gd name="connsiteX19" fmla="*/ 1550581 w 1554596"/>
            <a:gd name="connsiteY19" fmla="*/ 1484894 h 2893708"/>
            <a:gd name="connsiteX20" fmla="*/ 914468 w 1554596"/>
            <a:gd name="connsiteY20" fmla="*/ 1471768 h 2893708"/>
            <a:gd name="connsiteX21" fmla="*/ 960192 w 1554596"/>
            <a:gd name="connsiteY21" fmla="*/ 1247467 h 2893708"/>
            <a:gd name="connsiteX22" fmla="*/ 1005915 w 1554596"/>
            <a:gd name="connsiteY22" fmla="*/ 515293 h 2893708"/>
            <a:gd name="connsiteX23" fmla="*/ 1051638 w 1554596"/>
            <a:gd name="connsiteY23" fmla="*/ 222307 h 2893708"/>
            <a:gd name="connsiteX24" fmla="*/ 1097362 w 1554596"/>
            <a:gd name="connsiteY24" fmla="*/ 0 h 2893708"/>
            <a:gd name="connsiteX25" fmla="*/ 1143086 w 1554596"/>
            <a:gd name="connsiteY25" fmla="*/ 370432 h 2893708"/>
            <a:gd name="connsiteX26" fmla="*/ 1188809 w 1554596"/>
            <a:gd name="connsiteY26" fmla="*/ 152848 h 2893708"/>
            <a:gd name="connsiteX27" fmla="*/ 1234532 w 1554596"/>
            <a:gd name="connsiteY27" fmla="*/ 279663 h 2893708"/>
            <a:gd name="connsiteX28" fmla="*/ 1280256 w 1554596"/>
            <a:gd name="connsiteY28" fmla="*/ 279663 h 2893708"/>
            <a:gd name="connsiteX29" fmla="*/ 1325979 w 1554596"/>
            <a:gd name="connsiteY29" fmla="*/ 448842 h 2893708"/>
            <a:gd name="connsiteX30" fmla="*/ 1371703 w 1554596"/>
            <a:gd name="connsiteY30" fmla="*/ 678342 h 2893708"/>
            <a:gd name="connsiteX31" fmla="*/ 1417426 w 1554596"/>
            <a:gd name="connsiteY31" fmla="*/ 909446 h 2893708"/>
            <a:gd name="connsiteX32" fmla="*/ 1463149 w 1554596"/>
            <a:gd name="connsiteY32" fmla="*/ 1120999 h 2893708"/>
            <a:gd name="connsiteX33" fmla="*/ 1508873 w 1554596"/>
            <a:gd name="connsiteY33" fmla="*/ 1266615 h 2893708"/>
            <a:gd name="connsiteX34" fmla="*/ 1554596 w 1554596"/>
            <a:gd name="connsiteY34" fmla="*/ 1480853 h 2893708"/>
            <a:gd name="connsiteX0" fmla="*/ 1554596 w 1554596"/>
            <a:gd name="connsiteY0" fmla="*/ 1480853 h 2893708"/>
            <a:gd name="connsiteX1" fmla="*/ 0 w 1554596"/>
            <a:gd name="connsiteY1" fmla="*/ 2893708 h 2893708"/>
            <a:gd name="connsiteX2" fmla="*/ 0 w 1554596"/>
            <a:gd name="connsiteY2" fmla="*/ 2893708 h 2893708"/>
            <a:gd name="connsiteX3" fmla="*/ 0 w 1554596"/>
            <a:gd name="connsiteY3" fmla="*/ 2893708 h 2893708"/>
            <a:gd name="connsiteX4" fmla="*/ 0 w 1554596"/>
            <a:gd name="connsiteY4" fmla="*/ 2893708 h 2893708"/>
            <a:gd name="connsiteX5" fmla="*/ 0 w 1554596"/>
            <a:gd name="connsiteY5" fmla="*/ 2893708 h 2893708"/>
            <a:gd name="connsiteX6" fmla="*/ 0 w 1554596"/>
            <a:gd name="connsiteY6" fmla="*/ 2893708 h 2893708"/>
            <a:gd name="connsiteX7" fmla="*/ 0 w 1554596"/>
            <a:gd name="connsiteY7" fmla="*/ 2893708 h 2893708"/>
            <a:gd name="connsiteX8" fmla="*/ 0 w 1554596"/>
            <a:gd name="connsiteY8" fmla="*/ 2893708 h 2893708"/>
            <a:gd name="connsiteX9" fmla="*/ 0 w 1554596"/>
            <a:gd name="connsiteY9" fmla="*/ 2893708 h 2893708"/>
            <a:gd name="connsiteX10" fmla="*/ 0 w 1554596"/>
            <a:gd name="connsiteY10" fmla="*/ 2893708 h 2893708"/>
            <a:gd name="connsiteX11" fmla="*/ 0 w 1554596"/>
            <a:gd name="connsiteY11" fmla="*/ 2893708 h 2893708"/>
            <a:gd name="connsiteX12" fmla="*/ 0 w 1554596"/>
            <a:gd name="connsiteY12" fmla="*/ 2893708 h 2893708"/>
            <a:gd name="connsiteX13" fmla="*/ 0 w 1554596"/>
            <a:gd name="connsiteY13" fmla="*/ 2893708 h 2893708"/>
            <a:gd name="connsiteX14" fmla="*/ 0 w 1554596"/>
            <a:gd name="connsiteY14" fmla="*/ 2893708 h 2893708"/>
            <a:gd name="connsiteX15" fmla="*/ 0 w 1554596"/>
            <a:gd name="connsiteY15" fmla="*/ 2893708 h 2893708"/>
            <a:gd name="connsiteX16" fmla="*/ 0 w 1554596"/>
            <a:gd name="connsiteY16" fmla="*/ 2893708 h 2893708"/>
            <a:gd name="connsiteX17" fmla="*/ 0 w 1554596"/>
            <a:gd name="connsiteY17" fmla="*/ 2893708 h 2893708"/>
            <a:gd name="connsiteX18" fmla="*/ 1550581 w 1554596"/>
            <a:gd name="connsiteY18" fmla="*/ 1484894 h 2893708"/>
            <a:gd name="connsiteX19" fmla="*/ 914468 w 1554596"/>
            <a:gd name="connsiteY19" fmla="*/ 1471768 h 2893708"/>
            <a:gd name="connsiteX20" fmla="*/ 960192 w 1554596"/>
            <a:gd name="connsiteY20" fmla="*/ 1247467 h 2893708"/>
            <a:gd name="connsiteX21" fmla="*/ 1005915 w 1554596"/>
            <a:gd name="connsiteY21" fmla="*/ 515293 h 2893708"/>
            <a:gd name="connsiteX22" fmla="*/ 1051638 w 1554596"/>
            <a:gd name="connsiteY22" fmla="*/ 222307 h 2893708"/>
            <a:gd name="connsiteX23" fmla="*/ 1097362 w 1554596"/>
            <a:gd name="connsiteY23" fmla="*/ 0 h 2893708"/>
            <a:gd name="connsiteX24" fmla="*/ 1143086 w 1554596"/>
            <a:gd name="connsiteY24" fmla="*/ 370432 h 2893708"/>
            <a:gd name="connsiteX25" fmla="*/ 1188809 w 1554596"/>
            <a:gd name="connsiteY25" fmla="*/ 152848 h 2893708"/>
            <a:gd name="connsiteX26" fmla="*/ 1234532 w 1554596"/>
            <a:gd name="connsiteY26" fmla="*/ 279663 h 2893708"/>
            <a:gd name="connsiteX27" fmla="*/ 1280256 w 1554596"/>
            <a:gd name="connsiteY27" fmla="*/ 279663 h 2893708"/>
            <a:gd name="connsiteX28" fmla="*/ 1325979 w 1554596"/>
            <a:gd name="connsiteY28" fmla="*/ 448842 h 2893708"/>
            <a:gd name="connsiteX29" fmla="*/ 1371703 w 1554596"/>
            <a:gd name="connsiteY29" fmla="*/ 678342 h 2893708"/>
            <a:gd name="connsiteX30" fmla="*/ 1417426 w 1554596"/>
            <a:gd name="connsiteY30" fmla="*/ 909446 h 2893708"/>
            <a:gd name="connsiteX31" fmla="*/ 1463149 w 1554596"/>
            <a:gd name="connsiteY31" fmla="*/ 1120999 h 2893708"/>
            <a:gd name="connsiteX32" fmla="*/ 1508873 w 1554596"/>
            <a:gd name="connsiteY32" fmla="*/ 1266615 h 2893708"/>
            <a:gd name="connsiteX33" fmla="*/ 1554596 w 1554596"/>
            <a:gd name="connsiteY33" fmla="*/ 1480853 h 2893708"/>
            <a:gd name="connsiteX0" fmla="*/ 1554596 w 1554596"/>
            <a:gd name="connsiteY0" fmla="*/ 1480853 h 2893708"/>
            <a:gd name="connsiteX1" fmla="*/ 0 w 1554596"/>
            <a:gd name="connsiteY1" fmla="*/ 2893708 h 2893708"/>
            <a:gd name="connsiteX2" fmla="*/ 0 w 1554596"/>
            <a:gd name="connsiteY2" fmla="*/ 2893708 h 2893708"/>
            <a:gd name="connsiteX3" fmla="*/ 0 w 1554596"/>
            <a:gd name="connsiteY3" fmla="*/ 2893708 h 2893708"/>
            <a:gd name="connsiteX4" fmla="*/ 0 w 1554596"/>
            <a:gd name="connsiteY4" fmla="*/ 2893708 h 2893708"/>
            <a:gd name="connsiteX5" fmla="*/ 0 w 1554596"/>
            <a:gd name="connsiteY5" fmla="*/ 2893708 h 2893708"/>
            <a:gd name="connsiteX6" fmla="*/ 0 w 1554596"/>
            <a:gd name="connsiteY6" fmla="*/ 2893708 h 2893708"/>
            <a:gd name="connsiteX7" fmla="*/ 0 w 1554596"/>
            <a:gd name="connsiteY7" fmla="*/ 2893708 h 2893708"/>
            <a:gd name="connsiteX8" fmla="*/ 0 w 1554596"/>
            <a:gd name="connsiteY8" fmla="*/ 2893708 h 2893708"/>
            <a:gd name="connsiteX9" fmla="*/ 0 w 1554596"/>
            <a:gd name="connsiteY9" fmla="*/ 2893708 h 2893708"/>
            <a:gd name="connsiteX10" fmla="*/ 0 w 1554596"/>
            <a:gd name="connsiteY10" fmla="*/ 2893708 h 2893708"/>
            <a:gd name="connsiteX11" fmla="*/ 0 w 1554596"/>
            <a:gd name="connsiteY11" fmla="*/ 2893708 h 2893708"/>
            <a:gd name="connsiteX12" fmla="*/ 0 w 1554596"/>
            <a:gd name="connsiteY12" fmla="*/ 2893708 h 2893708"/>
            <a:gd name="connsiteX13" fmla="*/ 0 w 1554596"/>
            <a:gd name="connsiteY13" fmla="*/ 2893708 h 2893708"/>
            <a:gd name="connsiteX14" fmla="*/ 0 w 1554596"/>
            <a:gd name="connsiteY14" fmla="*/ 2893708 h 2893708"/>
            <a:gd name="connsiteX15" fmla="*/ 0 w 1554596"/>
            <a:gd name="connsiteY15" fmla="*/ 2893708 h 2893708"/>
            <a:gd name="connsiteX16" fmla="*/ 0 w 1554596"/>
            <a:gd name="connsiteY16" fmla="*/ 2893708 h 2893708"/>
            <a:gd name="connsiteX17" fmla="*/ 1550581 w 1554596"/>
            <a:gd name="connsiteY17" fmla="*/ 1484894 h 2893708"/>
            <a:gd name="connsiteX18" fmla="*/ 914468 w 1554596"/>
            <a:gd name="connsiteY18" fmla="*/ 1471768 h 2893708"/>
            <a:gd name="connsiteX19" fmla="*/ 960192 w 1554596"/>
            <a:gd name="connsiteY19" fmla="*/ 1247467 h 2893708"/>
            <a:gd name="connsiteX20" fmla="*/ 1005915 w 1554596"/>
            <a:gd name="connsiteY20" fmla="*/ 515293 h 2893708"/>
            <a:gd name="connsiteX21" fmla="*/ 1051638 w 1554596"/>
            <a:gd name="connsiteY21" fmla="*/ 222307 h 2893708"/>
            <a:gd name="connsiteX22" fmla="*/ 1097362 w 1554596"/>
            <a:gd name="connsiteY22" fmla="*/ 0 h 2893708"/>
            <a:gd name="connsiteX23" fmla="*/ 1143086 w 1554596"/>
            <a:gd name="connsiteY23" fmla="*/ 370432 h 2893708"/>
            <a:gd name="connsiteX24" fmla="*/ 1188809 w 1554596"/>
            <a:gd name="connsiteY24" fmla="*/ 152848 h 2893708"/>
            <a:gd name="connsiteX25" fmla="*/ 1234532 w 1554596"/>
            <a:gd name="connsiteY25" fmla="*/ 279663 h 2893708"/>
            <a:gd name="connsiteX26" fmla="*/ 1280256 w 1554596"/>
            <a:gd name="connsiteY26" fmla="*/ 279663 h 2893708"/>
            <a:gd name="connsiteX27" fmla="*/ 1325979 w 1554596"/>
            <a:gd name="connsiteY27" fmla="*/ 448842 h 2893708"/>
            <a:gd name="connsiteX28" fmla="*/ 1371703 w 1554596"/>
            <a:gd name="connsiteY28" fmla="*/ 678342 h 2893708"/>
            <a:gd name="connsiteX29" fmla="*/ 1417426 w 1554596"/>
            <a:gd name="connsiteY29" fmla="*/ 909446 h 2893708"/>
            <a:gd name="connsiteX30" fmla="*/ 1463149 w 1554596"/>
            <a:gd name="connsiteY30" fmla="*/ 1120999 h 2893708"/>
            <a:gd name="connsiteX31" fmla="*/ 1508873 w 1554596"/>
            <a:gd name="connsiteY31" fmla="*/ 1266615 h 2893708"/>
            <a:gd name="connsiteX32" fmla="*/ 1554596 w 1554596"/>
            <a:gd name="connsiteY32" fmla="*/ 1480853 h 2893708"/>
            <a:gd name="connsiteX0" fmla="*/ 1554596 w 1554596"/>
            <a:gd name="connsiteY0" fmla="*/ 1480853 h 2893708"/>
            <a:gd name="connsiteX1" fmla="*/ 0 w 1554596"/>
            <a:gd name="connsiteY1" fmla="*/ 2893708 h 2893708"/>
            <a:gd name="connsiteX2" fmla="*/ 0 w 1554596"/>
            <a:gd name="connsiteY2" fmla="*/ 2893708 h 2893708"/>
            <a:gd name="connsiteX3" fmla="*/ 0 w 1554596"/>
            <a:gd name="connsiteY3" fmla="*/ 2893708 h 2893708"/>
            <a:gd name="connsiteX4" fmla="*/ 0 w 1554596"/>
            <a:gd name="connsiteY4" fmla="*/ 2893708 h 2893708"/>
            <a:gd name="connsiteX5" fmla="*/ 0 w 1554596"/>
            <a:gd name="connsiteY5" fmla="*/ 2893708 h 2893708"/>
            <a:gd name="connsiteX6" fmla="*/ 0 w 1554596"/>
            <a:gd name="connsiteY6" fmla="*/ 2893708 h 2893708"/>
            <a:gd name="connsiteX7" fmla="*/ 0 w 1554596"/>
            <a:gd name="connsiteY7" fmla="*/ 2893708 h 2893708"/>
            <a:gd name="connsiteX8" fmla="*/ 0 w 1554596"/>
            <a:gd name="connsiteY8" fmla="*/ 2893708 h 2893708"/>
            <a:gd name="connsiteX9" fmla="*/ 0 w 1554596"/>
            <a:gd name="connsiteY9" fmla="*/ 2893708 h 2893708"/>
            <a:gd name="connsiteX10" fmla="*/ 0 w 1554596"/>
            <a:gd name="connsiteY10" fmla="*/ 2893708 h 2893708"/>
            <a:gd name="connsiteX11" fmla="*/ 0 w 1554596"/>
            <a:gd name="connsiteY11" fmla="*/ 2893708 h 2893708"/>
            <a:gd name="connsiteX12" fmla="*/ 0 w 1554596"/>
            <a:gd name="connsiteY12" fmla="*/ 2893708 h 2893708"/>
            <a:gd name="connsiteX13" fmla="*/ 0 w 1554596"/>
            <a:gd name="connsiteY13" fmla="*/ 2893708 h 2893708"/>
            <a:gd name="connsiteX14" fmla="*/ 0 w 1554596"/>
            <a:gd name="connsiteY14" fmla="*/ 2893708 h 2893708"/>
            <a:gd name="connsiteX15" fmla="*/ 0 w 1554596"/>
            <a:gd name="connsiteY15" fmla="*/ 2893708 h 2893708"/>
            <a:gd name="connsiteX16" fmla="*/ 1550581 w 1554596"/>
            <a:gd name="connsiteY16" fmla="*/ 1484894 h 2893708"/>
            <a:gd name="connsiteX17" fmla="*/ 914468 w 1554596"/>
            <a:gd name="connsiteY17" fmla="*/ 1471768 h 2893708"/>
            <a:gd name="connsiteX18" fmla="*/ 960192 w 1554596"/>
            <a:gd name="connsiteY18" fmla="*/ 1247467 h 2893708"/>
            <a:gd name="connsiteX19" fmla="*/ 1005915 w 1554596"/>
            <a:gd name="connsiteY19" fmla="*/ 515293 h 2893708"/>
            <a:gd name="connsiteX20" fmla="*/ 1051638 w 1554596"/>
            <a:gd name="connsiteY20" fmla="*/ 222307 h 2893708"/>
            <a:gd name="connsiteX21" fmla="*/ 1097362 w 1554596"/>
            <a:gd name="connsiteY21" fmla="*/ 0 h 2893708"/>
            <a:gd name="connsiteX22" fmla="*/ 1143086 w 1554596"/>
            <a:gd name="connsiteY22" fmla="*/ 370432 h 2893708"/>
            <a:gd name="connsiteX23" fmla="*/ 1188809 w 1554596"/>
            <a:gd name="connsiteY23" fmla="*/ 152848 h 2893708"/>
            <a:gd name="connsiteX24" fmla="*/ 1234532 w 1554596"/>
            <a:gd name="connsiteY24" fmla="*/ 279663 h 2893708"/>
            <a:gd name="connsiteX25" fmla="*/ 1280256 w 1554596"/>
            <a:gd name="connsiteY25" fmla="*/ 279663 h 2893708"/>
            <a:gd name="connsiteX26" fmla="*/ 1325979 w 1554596"/>
            <a:gd name="connsiteY26" fmla="*/ 448842 h 2893708"/>
            <a:gd name="connsiteX27" fmla="*/ 1371703 w 1554596"/>
            <a:gd name="connsiteY27" fmla="*/ 678342 h 2893708"/>
            <a:gd name="connsiteX28" fmla="*/ 1417426 w 1554596"/>
            <a:gd name="connsiteY28" fmla="*/ 909446 h 2893708"/>
            <a:gd name="connsiteX29" fmla="*/ 1463149 w 1554596"/>
            <a:gd name="connsiteY29" fmla="*/ 1120999 h 2893708"/>
            <a:gd name="connsiteX30" fmla="*/ 1508873 w 1554596"/>
            <a:gd name="connsiteY30" fmla="*/ 1266615 h 2893708"/>
            <a:gd name="connsiteX31" fmla="*/ 1554596 w 1554596"/>
            <a:gd name="connsiteY31" fmla="*/ 1480853 h 2893708"/>
            <a:gd name="connsiteX0" fmla="*/ 1554596 w 1554596"/>
            <a:gd name="connsiteY0" fmla="*/ 1480853 h 2893708"/>
            <a:gd name="connsiteX1" fmla="*/ 0 w 1554596"/>
            <a:gd name="connsiteY1" fmla="*/ 2893708 h 2893708"/>
            <a:gd name="connsiteX2" fmla="*/ 0 w 1554596"/>
            <a:gd name="connsiteY2" fmla="*/ 2893708 h 2893708"/>
            <a:gd name="connsiteX3" fmla="*/ 0 w 1554596"/>
            <a:gd name="connsiteY3" fmla="*/ 2893708 h 2893708"/>
            <a:gd name="connsiteX4" fmla="*/ 0 w 1554596"/>
            <a:gd name="connsiteY4" fmla="*/ 2893708 h 2893708"/>
            <a:gd name="connsiteX5" fmla="*/ 0 w 1554596"/>
            <a:gd name="connsiteY5" fmla="*/ 2893708 h 2893708"/>
            <a:gd name="connsiteX6" fmla="*/ 0 w 1554596"/>
            <a:gd name="connsiteY6" fmla="*/ 2893708 h 2893708"/>
            <a:gd name="connsiteX7" fmla="*/ 0 w 1554596"/>
            <a:gd name="connsiteY7" fmla="*/ 2893708 h 2893708"/>
            <a:gd name="connsiteX8" fmla="*/ 0 w 1554596"/>
            <a:gd name="connsiteY8" fmla="*/ 2893708 h 2893708"/>
            <a:gd name="connsiteX9" fmla="*/ 0 w 1554596"/>
            <a:gd name="connsiteY9" fmla="*/ 2893708 h 2893708"/>
            <a:gd name="connsiteX10" fmla="*/ 0 w 1554596"/>
            <a:gd name="connsiteY10" fmla="*/ 2893708 h 2893708"/>
            <a:gd name="connsiteX11" fmla="*/ 0 w 1554596"/>
            <a:gd name="connsiteY11" fmla="*/ 2893708 h 2893708"/>
            <a:gd name="connsiteX12" fmla="*/ 0 w 1554596"/>
            <a:gd name="connsiteY12" fmla="*/ 2893708 h 2893708"/>
            <a:gd name="connsiteX13" fmla="*/ 0 w 1554596"/>
            <a:gd name="connsiteY13" fmla="*/ 2893708 h 2893708"/>
            <a:gd name="connsiteX14" fmla="*/ 0 w 1554596"/>
            <a:gd name="connsiteY14" fmla="*/ 2893708 h 2893708"/>
            <a:gd name="connsiteX15" fmla="*/ 1550581 w 1554596"/>
            <a:gd name="connsiteY15" fmla="*/ 1484894 h 2893708"/>
            <a:gd name="connsiteX16" fmla="*/ 914468 w 1554596"/>
            <a:gd name="connsiteY16" fmla="*/ 1471768 h 2893708"/>
            <a:gd name="connsiteX17" fmla="*/ 960192 w 1554596"/>
            <a:gd name="connsiteY17" fmla="*/ 1247467 h 2893708"/>
            <a:gd name="connsiteX18" fmla="*/ 1005915 w 1554596"/>
            <a:gd name="connsiteY18" fmla="*/ 515293 h 2893708"/>
            <a:gd name="connsiteX19" fmla="*/ 1051638 w 1554596"/>
            <a:gd name="connsiteY19" fmla="*/ 222307 h 2893708"/>
            <a:gd name="connsiteX20" fmla="*/ 1097362 w 1554596"/>
            <a:gd name="connsiteY20" fmla="*/ 0 h 2893708"/>
            <a:gd name="connsiteX21" fmla="*/ 1143086 w 1554596"/>
            <a:gd name="connsiteY21" fmla="*/ 370432 h 2893708"/>
            <a:gd name="connsiteX22" fmla="*/ 1188809 w 1554596"/>
            <a:gd name="connsiteY22" fmla="*/ 152848 h 2893708"/>
            <a:gd name="connsiteX23" fmla="*/ 1234532 w 1554596"/>
            <a:gd name="connsiteY23" fmla="*/ 279663 h 2893708"/>
            <a:gd name="connsiteX24" fmla="*/ 1280256 w 1554596"/>
            <a:gd name="connsiteY24" fmla="*/ 279663 h 2893708"/>
            <a:gd name="connsiteX25" fmla="*/ 1325979 w 1554596"/>
            <a:gd name="connsiteY25" fmla="*/ 448842 h 2893708"/>
            <a:gd name="connsiteX26" fmla="*/ 1371703 w 1554596"/>
            <a:gd name="connsiteY26" fmla="*/ 678342 h 2893708"/>
            <a:gd name="connsiteX27" fmla="*/ 1417426 w 1554596"/>
            <a:gd name="connsiteY27" fmla="*/ 909446 h 2893708"/>
            <a:gd name="connsiteX28" fmla="*/ 1463149 w 1554596"/>
            <a:gd name="connsiteY28" fmla="*/ 1120999 h 2893708"/>
            <a:gd name="connsiteX29" fmla="*/ 1508873 w 1554596"/>
            <a:gd name="connsiteY29" fmla="*/ 1266615 h 2893708"/>
            <a:gd name="connsiteX30" fmla="*/ 1554596 w 1554596"/>
            <a:gd name="connsiteY30" fmla="*/ 1480853 h 2893708"/>
            <a:gd name="connsiteX0" fmla="*/ 1554596 w 1554596"/>
            <a:gd name="connsiteY0" fmla="*/ 1480853 h 2893708"/>
            <a:gd name="connsiteX1" fmla="*/ 0 w 1554596"/>
            <a:gd name="connsiteY1" fmla="*/ 2893708 h 2893708"/>
            <a:gd name="connsiteX2" fmla="*/ 0 w 1554596"/>
            <a:gd name="connsiteY2" fmla="*/ 2893708 h 2893708"/>
            <a:gd name="connsiteX3" fmla="*/ 0 w 1554596"/>
            <a:gd name="connsiteY3" fmla="*/ 2893708 h 2893708"/>
            <a:gd name="connsiteX4" fmla="*/ 0 w 1554596"/>
            <a:gd name="connsiteY4" fmla="*/ 2893708 h 2893708"/>
            <a:gd name="connsiteX5" fmla="*/ 0 w 1554596"/>
            <a:gd name="connsiteY5" fmla="*/ 2893708 h 2893708"/>
            <a:gd name="connsiteX6" fmla="*/ 0 w 1554596"/>
            <a:gd name="connsiteY6" fmla="*/ 2893708 h 2893708"/>
            <a:gd name="connsiteX7" fmla="*/ 0 w 1554596"/>
            <a:gd name="connsiteY7" fmla="*/ 2893708 h 2893708"/>
            <a:gd name="connsiteX8" fmla="*/ 0 w 1554596"/>
            <a:gd name="connsiteY8" fmla="*/ 2893708 h 2893708"/>
            <a:gd name="connsiteX9" fmla="*/ 0 w 1554596"/>
            <a:gd name="connsiteY9" fmla="*/ 2893708 h 2893708"/>
            <a:gd name="connsiteX10" fmla="*/ 0 w 1554596"/>
            <a:gd name="connsiteY10" fmla="*/ 2893708 h 2893708"/>
            <a:gd name="connsiteX11" fmla="*/ 0 w 1554596"/>
            <a:gd name="connsiteY11" fmla="*/ 2893708 h 2893708"/>
            <a:gd name="connsiteX12" fmla="*/ 0 w 1554596"/>
            <a:gd name="connsiteY12" fmla="*/ 2893708 h 2893708"/>
            <a:gd name="connsiteX13" fmla="*/ 0 w 1554596"/>
            <a:gd name="connsiteY13" fmla="*/ 2893708 h 2893708"/>
            <a:gd name="connsiteX14" fmla="*/ 1550581 w 1554596"/>
            <a:gd name="connsiteY14" fmla="*/ 1484894 h 2893708"/>
            <a:gd name="connsiteX15" fmla="*/ 914468 w 1554596"/>
            <a:gd name="connsiteY15" fmla="*/ 1471768 h 2893708"/>
            <a:gd name="connsiteX16" fmla="*/ 960192 w 1554596"/>
            <a:gd name="connsiteY16" fmla="*/ 1247467 h 2893708"/>
            <a:gd name="connsiteX17" fmla="*/ 1005915 w 1554596"/>
            <a:gd name="connsiteY17" fmla="*/ 515293 h 2893708"/>
            <a:gd name="connsiteX18" fmla="*/ 1051638 w 1554596"/>
            <a:gd name="connsiteY18" fmla="*/ 222307 h 2893708"/>
            <a:gd name="connsiteX19" fmla="*/ 1097362 w 1554596"/>
            <a:gd name="connsiteY19" fmla="*/ 0 h 2893708"/>
            <a:gd name="connsiteX20" fmla="*/ 1143086 w 1554596"/>
            <a:gd name="connsiteY20" fmla="*/ 370432 h 2893708"/>
            <a:gd name="connsiteX21" fmla="*/ 1188809 w 1554596"/>
            <a:gd name="connsiteY21" fmla="*/ 152848 h 2893708"/>
            <a:gd name="connsiteX22" fmla="*/ 1234532 w 1554596"/>
            <a:gd name="connsiteY22" fmla="*/ 279663 h 2893708"/>
            <a:gd name="connsiteX23" fmla="*/ 1280256 w 1554596"/>
            <a:gd name="connsiteY23" fmla="*/ 279663 h 2893708"/>
            <a:gd name="connsiteX24" fmla="*/ 1325979 w 1554596"/>
            <a:gd name="connsiteY24" fmla="*/ 448842 h 2893708"/>
            <a:gd name="connsiteX25" fmla="*/ 1371703 w 1554596"/>
            <a:gd name="connsiteY25" fmla="*/ 678342 h 2893708"/>
            <a:gd name="connsiteX26" fmla="*/ 1417426 w 1554596"/>
            <a:gd name="connsiteY26" fmla="*/ 909446 h 2893708"/>
            <a:gd name="connsiteX27" fmla="*/ 1463149 w 1554596"/>
            <a:gd name="connsiteY27" fmla="*/ 1120999 h 2893708"/>
            <a:gd name="connsiteX28" fmla="*/ 1508873 w 1554596"/>
            <a:gd name="connsiteY28" fmla="*/ 1266615 h 2893708"/>
            <a:gd name="connsiteX29" fmla="*/ 1554596 w 1554596"/>
            <a:gd name="connsiteY29" fmla="*/ 1480853 h 2893708"/>
            <a:gd name="connsiteX0" fmla="*/ 1554596 w 1554596"/>
            <a:gd name="connsiteY0" fmla="*/ 1480853 h 2893708"/>
            <a:gd name="connsiteX1" fmla="*/ 0 w 1554596"/>
            <a:gd name="connsiteY1" fmla="*/ 2893708 h 2893708"/>
            <a:gd name="connsiteX2" fmla="*/ 0 w 1554596"/>
            <a:gd name="connsiteY2" fmla="*/ 2893708 h 2893708"/>
            <a:gd name="connsiteX3" fmla="*/ 0 w 1554596"/>
            <a:gd name="connsiteY3" fmla="*/ 2893708 h 2893708"/>
            <a:gd name="connsiteX4" fmla="*/ 0 w 1554596"/>
            <a:gd name="connsiteY4" fmla="*/ 2893708 h 2893708"/>
            <a:gd name="connsiteX5" fmla="*/ 0 w 1554596"/>
            <a:gd name="connsiteY5" fmla="*/ 2893708 h 2893708"/>
            <a:gd name="connsiteX6" fmla="*/ 0 w 1554596"/>
            <a:gd name="connsiteY6" fmla="*/ 2893708 h 2893708"/>
            <a:gd name="connsiteX7" fmla="*/ 0 w 1554596"/>
            <a:gd name="connsiteY7" fmla="*/ 2893708 h 2893708"/>
            <a:gd name="connsiteX8" fmla="*/ 0 w 1554596"/>
            <a:gd name="connsiteY8" fmla="*/ 2893708 h 2893708"/>
            <a:gd name="connsiteX9" fmla="*/ 0 w 1554596"/>
            <a:gd name="connsiteY9" fmla="*/ 2893708 h 2893708"/>
            <a:gd name="connsiteX10" fmla="*/ 0 w 1554596"/>
            <a:gd name="connsiteY10" fmla="*/ 2893708 h 2893708"/>
            <a:gd name="connsiteX11" fmla="*/ 0 w 1554596"/>
            <a:gd name="connsiteY11" fmla="*/ 2893708 h 2893708"/>
            <a:gd name="connsiteX12" fmla="*/ 0 w 1554596"/>
            <a:gd name="connsiteY12" fmla="*/ 2893708 h 2893708"/>
            <a:gd name="connsiteX13" fmla="*/ 1550581 w 1554596"/>
            <a:gd name="connsiteY13" fmla="*/ 1484894 h 2893708"/>
            <a:gd name="connsiteX14" fmla="*/ 914468 w 1554596"/>
            <a:gd name="connsiteY14" fmla="*/ 1471768 h 2893708"/>
            <a:gd name="connsiteX15" fmla="*/ 960192 w 1554596"/>
            <a:gd name="connsiteY15" fmla="*/ 1247467 h 2893708"/>
            <a:gd name="connsiteX16" fmla="*/ 1005915 w 1554596"/>
            <a:gd name="connsiteY16" fmla="*/ 515293 h 2893708"/>
            <a:gd name="connsiteX17" fmla="*/ 1051638 w 1554596"/>
            <a:gd name="connsiteY17" fmla="*/ 222307 h 2893708"/>
            <a:gd name="connsiteX18" fmla="*/ 1097362 w 1554596"/>
            <a:gd name="connsiteY18" fmla="*/ 0 h 2893708"/>
            <a:gd name="connsiteX19" fmla="*/ 1143086 w 1554596"/>
            <a:gd name="connsiteY19" fmla="*/ 370432 h 2893708"/>
            <a:gd name="connsiteX20" fmla="*/ 1188809 w 1554596"/>
            <a:gd name="connsiteY20" fmla="*/ 152848 h 2893708"/>
            <a:gd name="connsiteX21" fmla="*/ 1234532 w 1554596"/>
            <a:gd name="connsiteY21" fmla="*/ 279663 h 2893708"/>
            <a:gd name="connsiteX22" fmla="*/ 1280256 w 1554596"/>
            <a:gd name="connsiteY22" fmla="*/ 279663 h 2893708"/>
            <a:gd name="connsiteX23" fmla="*/ 1325979 w 1554596"/>
            <a:gd name="connsiteY23" fmla="*/ 448842 h 2893708"/>
            <a:gd name="connsiteX24" fmla="*/ 1371703 w 1554596"/>
            <a:gd name="connsiteY24" fmla="*/ 678342 h 2893708"/>
            <a:gd name="connsiteX25" fmla="*/ 1417426 w 1554596"/>
            <a:gd name="connsiteY25" fmla="*/ 909446 h 2893708"/>
            <a:gd name="connsiteX26" fmla="*/ 1463149 w 1554596"/>
            <a:gd name="connsiteY26" fmla="*/ 1120999 h 2893708"/>
            <a:gd name="connsiteX27" fmla="*/ 1508873 w 1554596"/>
            <a:gd name="connsiteY27" fmla="*/ 1266615 h 2893708"/>
            <a:gd name="connsiteX28" fmla="*/ 1554596 w 1554596"/>
            <a:gd name="connsiteY28" fmla="*/ 1480853 h 2893708"/>
            <a:gd name="connsiteX0" fmla="*/ 1554596 w 1554596"/>
            <a:gd name="connsiteY0" fmla="*/ 1480853 h 2893708"/>
            <a:gd name="connsiteX1" fmla="*/ 0 w 1554596"/>
            <a:gd name="connsiteY1" fmla="*/ 2893708 h 2893708"/>
            <a:gd name="connsiteX2" fmla="*/ 0 w 1554596"/>
            <a:gd name="connsiteY2" fmla="*/ 2893708 h 2893708"/>
            <a:gd name="connsiteX3" fmla="*/ 0 w 1554596"/>
            <a:gd name="connsiteY3" fmla="*/ 2893708 h 2893708"/>
            <a:gd name="connsiteX4" fmla="*/ 0 w 1554596"/>
            <a:gd name="connsiteY4" fmla="*/ 2893708 h 2893708"/>
            <a:gd name="connsiteX5" fmla="*/ 0 w 1554596"/>
            <a:gd name="connsiteY5" fmla="*/ 2893708 h 2893708"/>
            <a:gd name="connsiteX6" fmla="*/ 0 w 1554596"/>
            <a:gd name="connsiteY6" fmla="*/ 2893708 h 2893708"/>
            <a:gd name="connsiteX7" fmla="*/ 0 w 1554596"/>
            <a:gd name="connsiteY7" fmla="*/ 2893708 h 2893708"/>
            <a:gd name="connsiteX8" fmla="*/ 0 w 1554596"/>
            <a:gd name="connsiteY8" fmla="*/ 2893708 h 2893708"/>
            <a:gd name="connsiteX9" fmla="*/ 0 w 1554596"/>
            <a:gd name="connsiteY9" fmla="*/ 2893708 h 2893708"/>
            <a:gd name="connsiteX10" fmla="*/ 0 w 1554596"/>
            <a:gd name="connsiteY10" fmla="*/ 2893708 h 2893708"/>
            <a:gd name="connsiteX11" fmla="*/ 0 w 1554596"/>
            <a:gd name="connsiteY11" fmla="*/ 2893708 h 2893708"/>
            <a:gd name="connsiteX12" fmla="*/ 1550581 w 1554596"/>
            <a:gd name="connsiteY12" fmla="*/ 1484894 h 2893708"/>
            <a:gd name="connsiteX13" fmla="*/ 914468 w 1554596"/>
            <a:gd name="connsiteY13" fmla="*/ 1471768 h 2893708"/>
            <a:gd name="connsiteX14" fmla="*/ 960192 w 1554596"/>
            <a:gd name="connsiteY14" fmla="*/ 1247467 h 2893708"/>
            <a:gd name="connsiteX15" fmla="*/ 1005915 w 1554596"/>
            <a:gd name="connsiteY15" fmla="*/ 515293 h 2893708"/>
            <a:gd name="connsiteX16" fmla="*/ 1051638 w 1554596"/>
            <a:gd name="connsiteY16" fmla="*/ 222307 h 2893708"/>
            <a:gd name="connsiteX17" fmla="*/ 1097362 w 1554596"/>
            <a:gd name="connsiteY17" fmla="*/ 0 h 2893708"/>
            <a:gd name="connsiteX18" fmla="*/ 1143086 w 1554596"/>
            <a:gd name="connsiteY18" fmla="*/ 370432 h 2893708"/>
            <a:gd name="connsiteX19" fmla="*/ 1188809 w 1554596"/>
            <a:gd name="connsiteY19" fmla="*/ 152848 h 2893708"/>
            <a:gd name="connsiteX20" fmla="*/ 1234532 w 1554596"/>
            <a:gd name="connsiteY20" fmla="*/ 279663 h 2893708"/>
            <a:gd name="connsiteX21" fmla="*/ 1280256 w 1554596"/>
            <a:gd name="connsiteY21" fmla="*/ 279663 h 2893708"/>
            <a:gd name="connsiteX22" fmla="*/ 1325979 w 1554596"/>
            <a:gd name="connsiteY22" fmla="*/ 448842 h 2893708"/>
            <a:gd name="connsiteX23" fmla="*/ 1371703 w 1554596"/>
            <a:gd name="connsiteY23" fmla="*/ 678342 h 2893708"/>
            <a:gd name="connsiteX24" fmla="*/ 1417426 w 1554596"/>
            <a:gd name="connsiteY24" fmla="*/ 909446 h 2893708"/>
            <a:gd name="connsiteX25" fmla="*/ 1463149 w 1554596"/>
            <a:gd name="connsiteY25" fmla="*/ 1120999 h 2893708"/>
            <a:gd name="connsiteX26" fmla="*/ 1508873 w 1554596"/>
            <a:gd name="connsiteY26" fmla="*/ 1266615 h 2893708"/>
            <a:gd name="connsiteX27" fmla="*/ 1554596 w 1554596"/>
            <a:gd name="connsiteY27" fmla="*/ 1480853 h 2893708"/>
            <a:gd name="connsiteX0" fmla="*/ 1554596 w 1554596"/>
            <a:gd name="connsiteY0" fmla="*/ 1480853 h 2893708"/>
            <a:gd name="connsiteX1" fmla="*/ 0 w 1554596"/>
            <a:gd name="connsiteY1" fmla="*/ 2893708 h 2893708"/>
            <a:gd name="connsiteX2" fmla="*/ 0 w 1554596"/>
            <a:gd name="connsiteY2" fmla="*/ 2893708 h 2893708"/>
            <a:gd name="connsiteX3" fmla="*/ 0 w 1554596"/>
            <a:gd name="connsiteY3" fmla="*/ 2893708 h 2893708"/>
            <a:gd name="connsiteX4" fmla="*/ 0 w 1554596"/>
            <a:gd name="connsiteY4" fmla="*/ 2893708 h 2893708"/>
            <a:gd name="connsiteX5" fmla="*/ 0 w 1554596"/>
            <a:gd name="connsiteY5" fmla="*/ 2893708 h 2893708"/>
            <a:gd name="connsiteX6" fmla="*/ 0 w 1554596"/>
            <a:gd name="connsiteY6" fmla="*/ 2893708 h 2893708"/>
            <a:gd name="connsiteX7" fmla="*/ 0 w 1554596"/>
            <a:gd name="connsiteY7" fmla="*/ 2893708 h 2893708"/>
            <a:gd name="connsiteX8" fmla="*/ 0 w 1554596"/>
            <a:gd name="connsiteY8" fmla="*/ 2893708 h 2893708"/>
            <a:gd name="connsiteX9" fmla="*/ 0 w 1554596"/>
            <a:gd name="connsiteY9" fmla="*/ 2893708 h 2893708"/>
            <a:gd name="connsiteX10" fmla="*/ 0 w 1554596"/>
            <a:gd name="connsiteY10" fmla="*/ 2893708 h 2893708"/>
            <a:gd name="connsiteX11" fmla="*/ 1550581 w 1554596"/>
            <a:gd name="connsiteY11" fmla="*/ 1484894 h 2893708"/>
            <a:gd name="connsiteX12" fmla="*/ 914468 w 1554596"/>
            <a:gd name="connsiteY12" fmla="*/ 1471768 h 2893708"/>
            <a:gd name="connsiteX13" fmla="*/ 960192 w 1554596"/>
            <a:gd name="connsiteY13" fmla="*/ 1247467 h 2893708"/>
            <a:gd name="connsiteX14" fmla="*/ 1005915 w 1554596"/>
            <a:gd name="connsiteY14" fmla="*/ 515293 h 2893708"/>
            <a:gd name="connsiteX15" fmla="*/ 1051638 w 1554596"/>
            <a:gd name="connsiteY15" fmla="*/ 222307 h 2893708"/>
            <a:gd name="connsiteX16" fmla="*/ 1097362 w 1554596"/>
            <a:gd name="connsiteY16" fmla="*/ 0 h 2893708"/>
            <a:gd name="connsiteX17" fmla="*/ 1143086 w 1554596"/>
            <a:gd name="connsiteY17" fmla="*/ 370432 h 2893708"/>
            <a:gd name="connsiteX18" fmla="*/ 1188809 w 1554596"/>
            <a:gd name="connsiteY18" fmla="*/ 152848 h 2893708"/>
            <a:gd name="connsiteX19" fmla="*/ 1234532 w 1554596"/>
            <a:gd name="connsiteY19" fmla="*/ 279663 h 2893708"/>
            <a:gd name="connsiteX20" fmla="*/ 1280256 w 1554596"/>
            <a:gd name="connsiteY20" fmla="*/ 279663 h 2893708"/>
            <a:gd name="connsiteX21" fmla="*/ 1325979 w 1554596"/>
            <a:gd name="connsiteY21" fmla="*/ 448842 h 2893708"/>
            <a:gd name="connsiteX22" fmla="*/ 1371703 w 1554596"/>
            <a:gd name="connsiteY22" fmla="*/ 678342 h 2893708"/>
            <a:gd name="connsiteX23" fmla="*/ 1417426 w 1554596"/>
            <a:gd name="connsiteY23" fmla="*/ 909446 h 2893708"/>
            <a:gd name="connsiteX24" fmla="*/ 1463149 w 1554596"/>
            <a:gd name="connsiteY24" fmla="*/ 1120999 h 2893708"/>
            <a:gd name="connsiteX25" fmla="*/ 1508873 w 1554596"/>
            <a:gd name="connsiteY25" fmla="*/ 1266615 h 2893708"/>
            <a:gd name="connsiteX26" fmla="*/ 1554596 w 1554596"/>
            <a:gd name="connsiteY26" fmla="*/ 1480853 h 2893708"/>
            <a:gd name="connsiteX0" fmla="*/ 1554596 w 1554596"/>
            <a:gd name="connsiteY0" fmla="*/ 1480853 h 2893708"/>
            <a:gd name="connsiteX1" fmla="*/ 0 w 1554596"/>
            <a:gd name="connsiteY1" fmla="*/ 2893708 h 2893708"/>
            <a:gd name="connsiteX2" fmla="*/ 0 w 1554596"/>
            <a:gd name="connsiteY2" fmla="*/ 2893708 h 2893708"/>
            <a:gd name="connsiteX3" fmla="*/ 0 w 1554596"/>
            <a:gd name="connsiteY3" fmla="*/ 2893708 h 2893708"/>
            <a:gd name="connsiteX4" fmla="*/ 0 w 1554596"/>
            <a:gd name="connsiteY4" fmla="*/ 2893708 h 2893708"/>
            <a:gd name="connsiteX5" fmla="*/ 0 w 1554596"/>
            <a:gd name="connsiteY5" fmla="*/ 2893708 h 2893708"/>
            <a:gd name="connsiteX6" fmla="*/ 0 w 1554596"/>
            <a:gd name="connsiteY6" fmla="*/ 2893708 h 2893708"/>
            <a:gd name="connsiteX7" fmla="*/ 0 w 1554596"/>
            <a:gd name="connsiteY7" fmla="*/ 2893708 h 2893708"/>
            <a:gd name="connsiteX8" fmla="*/ 0 w 1554596"/>
            <a:gd name="connsiteY8" fmla="*/ 2893708 h 2893708"/>
            <a:gd name="connsiteX9" fmla="*/ 0 w 1554596"/>
            <a:gd name="connsiteY9" fmla="*/ 2893708 h 2893708"/>
            <a:gd name="connsiteX10" fmla="*/ 1550581 w 1554596"/>
            <a:gd name="connsiteY10" fmla="*/ 1484894 h 2893708"/>
            <a:gd name="connsiteX11" fmla="*/ 914468 w 1554596"/>
            <a:gd name="connsiteY11" fmla="*/ 1471768 h 2893708"/>
            <a:gd name="connsiteX12" fmla="*/ 960192 w 1554596"/>
            <a:gd name="connsiteY12" fmla="*/ 1247467 h 2893708"/>
            <a:gd name="connsiteX13" fmla="*/ 1005915 w 1554596"/>
            <a:gd name="connsiteY13" fmla="*/ 515293 h 2893708"/>
            <a:gd name="connsiteX14" fmla="*/ 1051638 w 1554596"/>
            <a:gd name="connsiteY14" fmla="*/ 222307 h 2893708"/>
            <a:gd name="connsiteX15" fmla="*/ 1097362 w 1554596"/>
            <a:gd name="connsiteY15" fmla="*/ 0 h 2893708"/>
            <a:gd name="connsiteX16" fmla="*/ 1143086 w 1554596"/>
            <a:gd name="connsiteY16" fmla="*/ 370432 h 2893708"/>
            <a:gd name="connsiteX17" fmla="*/ 1188809 w 1554596"/>
            <a:gd name="connsiteY17" fmla="*/ 152848 h 2893708"/>
            <a:gd name="connsiteX18" fmla="*/ 1234532 w 1554596"/>
            <a:gd name="connsiteY18" fmla="*/ 279663 h 2893708"/>
            <a:gd name="connsiteX19" fmla="*/ 1280256 w 1554596"/>
            <a:gd name="connsiteY19" fmla="*/ 279663 h 2893708"/>
            <a:gd name="connsiteX20" fmla="*/ 1325979 w 1554596"/>
            <a:gd name="connsiteY20" fmla="*/ 448842 h 2893708"/>
            <a:gd name="connsiteX21" fmla="*/ 1371703 w 1554596"/>
            <a:gd name="connsiteY21" fmla="*/ 678342 h 2893708"/>
            <a:gd name="connsiteX22" fmla="*/ 1417426 w 1554596"/>
            <a:gd name="connsiteY22" fmla="*/ 909446 h 2893708"/>
            <a:gd name="connsiteX23" fmla="*/ 1463149 w 1554596"/>
            <a:gd name="connsiteY23" fmla="*/ 1120999 h 2893708"/>
            <a:gd name="connsiteX24" fmla="*/ 1508873 w 1554596"/>
            <a:gd name="connsiteY24" fmla="*/ 1266615 h 2893708"/>
            <a:gd name="connsiteX25" fmla="*/ 1554596 w 1554596"/>
            <a:gd name="connsiteY25" fmla="*/ 1480853 h 2893708"/>
            <a:gd name="connsiteX0" fmla="*/ 1554596 w 1554596"/>
            <a:gd name="connsiteY0" fmla="*/ 1480853 h 2893708"/>
            <a:gd name="connsiteX1" fmla="*/ 0 w 1554596"/>
            <a:gd name="connsiteY1" fmla="*/ 2893708 h 2893708"/>
            <a:gd name="connsiteX2" fmla="*/ 0 w 1554596"/>
            <a:gd name="connsiteY2" fmla="*/ 2893708 h 2893708"/>
            <a:gd name="connsiteX3" fmla="*/ 0 w 1554596"/>
            <a:gd name="connsiteY3" fmla="*/ 2893708 h 2893708"/>
            <a:gd name="connsiteX4" fmla="*/ 0 w 1554596"/>
            <a:gd name="connsiteY4" fmla="*/ 2893708 h 2893708"/>
            <a:gd name="connsiteX5" fmla="*/ 0 w 1554596"/>
            <a:gd name="connsiteY5" fmla="*/ 2893708 h 2893708"/>
            <a:gd name="connsiteX6" fmla="*/ 0 w 1554596"/>
            <a:gd name="connsiteY6" fmla="*/ 2893708 h 2893708"/>
            <a:gd name="connsiteX7" fmla="*/ 0 w 1554596"/>
            <a:gd name="connsiteY7" fmla="*/ 2893708 h 2893708"/>
            <a:gd name="connsiteX8" fmla="*/ 0 w 1554596"/>
            <a:gd name="connsiteY8" fmla="*/ 2893708 h 2893708"/>
            <a:gd name="connsiteX9" fmla="*/ 1550581 w 1554596"/>
            <a:gd name="connsiteY9" fmla="*/ 1484894 h 2893708"/>
            <a:gd name="connsiteX10" fmla="*/ 914468 w 1554596"/>
            <a:gd name="connsiteY10" fmla="*/ 1471768 h 2893708"/>
            <a:gd name="connsiteX11" fmla="*/ 960192 w 1554596"/>
            <a:gd name="connsiteY11" fmla="*/ 1247467 h 2893708"/>
            <a:gd name="connsiteX12" fmla="*/ 1005915 w 1554596"/>
            <a:gd name="connsiteY12" fmla="*/ 515293 h 2893708"/>
            <a:gd name="connsiteX13" fmla="*/ 1051638 w 1554596"/>
            <a:gd name="connsiteY13" fmla="*/ 222307 h 2893708"/>
            <a:gd name="connsiteX14" fmla="*/ 1097362 w 1554596"/>
            <a:gd name="connsiteY14" fmla="*/ 0 h 2893708"/>
            <a:gd name="connsiteX15" fmla="*/ 1143086 w 1554596"/>
            <a:gd name="connsiteY15" fmla="*/ 370432 h 2893708"/>
            <a:gd name="connsiteX16" fmla="*/ 1188809 w 1554596"/>
            <a:gd name="connsiteY16" fmla="*/ 152848 h 2893708"/>
            <a:gd name="connsiteX17" fmla="*/ 1234532 w 1554596"/>
            <a:gd name="connsiteY17" fmla="*/ 279663 h 2893708"/>
            <a:gd name="connsiteX18" fmla="*/ 1280256 w 1554596"/>
            <a:gd name="connsiteY18" fmla="*/ 279663 h 2893708"/>
            <a:gd name="connsiteX19" fmla="*/ 1325979 w 1554596"/>
            <a:gd name="connsiteY19" fmla="*/ 448842 h 2893708"/>
            <a:gd name="connsiteX20" fmla="*/ 1371703 w 1554596"/>
            <a:gd name="connsiteY20" fmla="*/ 678342 h 2893708"/>
            <a:gd name="connsiteX21" fmla="*/ 1417426 w 1554596"/>
            <a:gd name="connsiteY21" fmla="*/ 909446 h 2893708"/>
            <a:gd name="connsiteX22" fmla="*/ 1463149 w 1554596"/>
            <a:gd name="connsiteY22" fmla="*/ 1120999 h 2893708"/>
            <a:gd name="connsiteX23" fmla="*/ 1508873 w 1554596"/>
            <a:gd name="connsiteY23" fmla="*/ 1266615 h 2893708"/>
            <a:gd name="connsiteX24" fmla="*/ 1554596 w 1554596"/>
            <a:gd name="connsiteY24" fmla="*/ 1480853 h 2893708"/>
            <a:gd name="connsiteX0" fmla="*/ 1554596 w 1554596"/>
            <a:gd name="connsiteY0" fmla="*/ 1480853 h 2893708"/>
            <a:gd name="connsiteX1" fmla="*/ 0 w 1554596"/>
            <a:gd name="connsiteY1" fmla="*/ 2893708 h 2893708"/>
            <a:gd name="connsiteX2" fmla="*/ 0 w 1554596"/>
            <a:gd name="connsiteY2" fmla="*/ 2893708 h 2893708"/>
            <a:gd name="connsiteX3" fmla="*/ 0 w 1554596"/>
            <a:gd name="connsiteY3" fmla="*/ 2893708 h 2893708"/>
            <a:gd name="connsiteX4" fmla="*/ 0 w 1554596"/>
            <a:gd name="connsiteY4" fmla="*/ 2893708 h 2893708"/>
            <a:gd name="connsiteX5" fmla="*/ 0 w 1554596"/>
            <a:gd name="connsiteY5" fmla="*/ 2893708 h 2893708"/>
            <a:gd name="connsiteX6" fmla="*/ 0 w 1554596"/>
            <a:gd name="connsiteY6" fmla="*/ 2893708 h 2893708"/>
            <a:gd name="connsiteX7" fmla="*/ 0 w 1554596"/>
            <a:gd name="connsiteY7" fmla="*/ 2893708 h 2893708"/>
            <a:gd name="connsiteX8" fmla="*/ 1550581 w 1554596"/>
            <a:gd name="connsiteY8" fmla="*/ 1484894 h 2893708"/>
            <a:gd name="connsiteX9" fmla="*/ 914468 w 1554596"/>
            <a:gd name="connsiteY9" fmla="*/ 1471768 h 2893708"/>
            <a:gd name="connsiteX10" fmla="*/ 960192 w 1554596"/>
            <a:gd name="connsiteY10" fmla="*/ 1247467 h 2893708"/>
            <a:gd name="connsiteX11" fmla="*/ 1005915 w 1554596"/>
            <a:gd name="connsiteY11" fmla="*/ 515293 h 2893708"/>
            <a:gd name="connsiteX12" fmla="*/ 1051638 w 1554596"/>
            <a:gd name="connsiteY12" fmla="*/ 222307 h 2893708"/>
            <a:gd name="connsiteX13" fmla="*/ 1097362 w 1554596"/>
            <a:gd name="connsiteY13" fmla="*/ 0 h 2893708"/>
            <a:gd name="connsiteX14" fmla="*/ 1143086 w 1554596"/>
            <a:gd name="connsiteY14" fmla="*/ 370432 h 2893708"/>
            <a:gd name="connsiteX15" fmla="*/ 1188809 w 1554596"/>
            <a:gd name="connsiteY15" fmla="*/ 152848 h 2893708"/>
            <a:gd name="connsiteX16" fmla="*/ 1234532 w 1554596"/>
            <a:gd name="connsiteY16" fmla="*/ 279663 h 2893708"/>
            <a:gd name="connsiteX17" fmla="*/ 1280256 w 1554596"/>
            <a:gd name="connsiteY17" fmla="*/ 279663 h 2893708"/>
            <a:gd name="connsiteX18" fmla="*/ 1325979 w 1554596"/>
            <a:gd name="connsiteY18" fmla="*/ 448842 h 2893708"/>
            <a:gd name="connsiteX19" fmla="*/ 1371703 w 1554596"/>
            <a:gd name="connsiteY19" fmla="*/ 678342 h 2893708"/>
            <a:gd name="connsiteX20" fmla="*/ 1417426 w 1554596"/>
            <a:gd name="connsiteY20" fmla="*/ 909446 h 2893708"/>
            <a:gd name="connsiteX21" fmla="*/ 1463149 w 1554596"/>
            <a:gd name="connsiteY21" fmla="*/ 1120999 h 2893708"/>
            <a:gd name="connsiteX22" fmla="*/ 1508873 w 1554596"/>
            <a:gd name="connsiteY22" fmla="*/ 1266615 h 2893708"/>
            <a:gd name="connsiteX23" fmla="*/ 1554596 w 1554596"/>
            <a:gd name="connsiteY23" fmla="*/ 1480853 h 2893708"/>
            <a:gd name="connsiteX0" fmla="*/ 1554596 w 1554596"/>
            <a:gd name="connsiteY0" fmla="*/ 1480853 h 2893708"/>
            <a:gd name="connsiteX1" fmla="*/ 0 w 1554596"/>
            <a:gd name="connsiteY1" fmla="*/ 2893708 h 2893708"/>
            <a:gd name="connsiteX2" fmla="*/ 0 w 1554596"/>
            <a:gd name="connsiteY2" fmla="*/ 2893708 h 2893708"/>
            <a:gd name="connsiteX3" fmla="*/ 0 w 1554596"/>
            <a:gd name="connsiteY3" fmla="*/ 2893708 h 2893708"/>
            <a:gd name="connsiteX4" fmla="*/ 0 w 1554596"/>
            <a:gd name="connsiteY4" fmla="*/ 2893708 h 2893708"/>
            <a:gd name="connsiteX5" fmla="*/ 0 w 1554596"/>
            <a:gd name="connsiteY5" fmla="*/ 2893708 h 2893708"/>
            <a:gd name="connsiteX6" fmla="*/ 0 w 1554596"/>
            <a:gd name="connsiteY6" fmla="*/ 2893708 h 2893708"/>
            <a:gd name="connsiteX7" fmla="*/ 1550581 w 1554596"/>
            <a:gd name="connsiteY7" fmla="*/ 1484894 h 2893708"/>
            <a:gd name="connsiteX8" fmla="*/ 914468 w 1554596"/>
            <a:gd name="connsiteY8" fmla="*/ 1471768 h 2893708"/>
            <a:gd name="connsiteX9" fmla="*/ 960192 w 1554596"/>
            <a:gd name="connsiteY9" fmla="*/ 1247467 h 2893708"/>
            <a:gd name="connsiteX10" fmla="*/ 1005915 w 1554596"/>
            <a:gd name="connsiteY10" fmla="*/ 515293 h 2893708"/>
            <a:gd name="connsiteX11" fmla="*/ 1051638 w 1554596"/>
            <a:gd name="connsiteY11" fmla="*/ 222307 h 2893708"/>
            <a:gd name="connsiteX12" fmla="*/ 1097362 w 1554596"/>
            <a:gd name="connsiteY12" fmla="*/ 0 h 2893708"/>
            <a:gd name="connsiteX13" fmla="*/ 1143086 w 1554596"/>
            <a:gd name="connsiteY13" fmla="*/ 370432 h 2893708"/>
            <a:gd name="connsiteX14" fmla="*/ 1188809 w 1554596"/>
            <a:gd name="connsiteY14" fmla="*/ 152848 h 2893708"/>
            <a:gd name="connsiteX15" fmla="*/ 1234532 w 1554596"/>
            <a:gd name="connsiteY15" fmla="*/ 279663 h 2893708"/>
            <a:gd name="connsiteX16" fmla="*/ 1280256 w 1554596"/>
            <a:gd name="connsiteY16" fmla="*/ 279663 h 2893708"/>
            <a:gd name="connsiteX17" fmla="*/ 1325979 w 1554596"/>
            <a:gd name="connsiteY17" fmla="*/ 448842 h 2893708"/>
            <a:gd name="connsiteX18" fmla="*/ 1371703 w 1554596"/>
            <a:gd name="connsiteY18" fmla="*/ 678342 h 2893708"/>
            <a:gd name="connsiteX19" fmla="*/ 1417426 w 1554596"/>
            <a:gd name="connsiteY19" fmla="*/ 909446 h 2893708"/>
            <a:gd name="connsiteX20" fmla="*/ 1463149 w 1554596"/>
            <a:gd name="connsiteY20" fmla="*/ 1120999 h 2893708"/>
            <a:gd name="connsiteX21" fmla="*/ 1508873 w 1554596"/>
            <a:gd name="connsiteY21" fmla="*/ 1266615 h 2893708"/>
            <a:gd name="connsiteX22" fmla="*/ 1554596 w 1554596"/>
            <a:gd name="connsiteY22" fmla="*/ 1480853 h 2893708"/>
            <a:gd name="connsiteX0" fmla="*/ 1554596 w 1554596"/>
            <a:gd name="connsiteY0" fmla="*/ 1480853 h 2893708"/>
            <a:gd name="connsiteX1" fmla="*/ 0 w 1554596"/>
            <a:gd name="connsiteY1" fmla="*/ 2893708 h 2893708"/>
            <a:gd name="connsiteX2" fmla="*/ 0 w 1554596"/>
            <a:gd name="connsiteY2" fmla="*/ 2893708 h 2893708"/>
            <a:gd name="connsiteX3" fmla="*/ 0 w 1554596"/>
            <a:gd name="connsiteY3" fmla="*/ 2893708 h 2893708"/>
            <a:gd name="connsiteX4" fmla="*/ 0 w 1554596"/>
            <a:gd name="connsiteY4" fmla="*/ 2893708 h 2893708"/>
            <a:gd name="connsiteX5" fmla="*/ 0 w 1554596"/>
            <a:gd name="connsiteY5" fmla="*/ 2893708 h 2893708"/>
            <a:gd name="connsiteX6" fmla="*/ 1550581 w 1554596"/>
            <a:gd name="connsiteY6" fmla="*/ 1484894 h 2893708"/>
            <a:gd name="connsiteX7" fmla="*/ 914468 w 1554596"/>
            <a:gd name="connsiteY7" fmla="*/ 1471768 h 2893708"/>
            <a:gd name="connsiteX8" fmla="*/ 960192 w 1554596"/>
            <a:gd name="connsiteY8" fmla="*/ 1247467 h 2893708"/>
            <a:gd name="connsiteX9" fmla="*/ 1005915 w 1554596"/>
            <a:gd name="connsiteY9" fmla="*/ 515293 h 2893708"/>
            <a:gd name="connsiteX10" fmla="*/ 1051638 w 1554596"/>
            <a:gd name="connsiteY10" fmla="*/ 222307 h 2893708"/>
            <a:gd name="connsiteX11" fmla="*/ 1097362 w 1554596"/>
            <a:gd name="connsiteY11" fmla="*/ 0 h 2893708"/>
            <a:gd name="connsiteX12" fmla="*/ 1143086 w 1554596"/>
            <a:gd name="connsiteY12" fmla="*/ 370432 h 2893708"/>
            <a:gd name="connsiteX13" fmla="*/ 1188809 w 1554596"/>
            <a:gd name="connsiteY13" fmla="*/ 152848 h 2893708"/>
            <a:gd name="connsiteX14" fmla="*/ 1234532 w 1554596"/>
            <a:gd name="connsiteY14" fmla="*/ 279663 h 2893708"/>
            <a:gd name="connsiteX15" fmla="*/ 1280256 w 1554596"/>
            <a:gd name="connsiteY15" fmla="*/ 279663 h 2893708"/>
            <a:gd name="connsiteX16" fmla="*/ 1325979 w 1554596"/>
            <a:gd name="connsiteY16" fmla="*/ 448842 h 2893708"/>
            <a:gd name="connsiteX17" fmla="*/ 1371703 w 1554596"/>
            <a:gd name="connsiteY17" fmla="*/ 678342 h 2893708"/>
            <a:gd name="connsiteX18" fmla="*/ 1417426 w 1554596"/>
            <a:gd name="connsiteY18" fmla="*/ 909446 h 2893708"/>
            <a:gd name="connsiteX19" fmla="*/ 1463149 w 1554596"/>
            <a:gd name="connsiteY19" fmla="*/ 1120999 h 2893708"/>
            <a:gd name="connsiteX20" fmla="*/ 1508873 w 1554596"/>
            <a:gd name="connsiteY20" fmla="*/ 1266615 h 2893708"/>
            <a:gd name="connsiteX21" fmla="*/ 1554596 w 1554596"/>
            <a:gd name="connsiteY21" fmla="*/ 1480853 h 2893708"/>
            <a:gd name="connsiteX0" fmla="*/ 1554596 w 1554596"/>
            <a:gd name="connsiteY0" fmla="*/ 1480853 h 2893708"/>
            <a:gd name="connsiteX1" fmla="*/ 0 w 1554596"/>
            <a:gd name="connsiteY1" fmla="*/ 2893708 h 2893708"/>
            <a:gd name="connsiteX2" fmla="*/ 0 w 1554596"/>
            <a:gd name="connsiteY2" fmla="*/ 2893708 h 2893708"/>
            <a:gd name="connsiteX3" fmla="*/ 0 w 1554596"/>
            <a:gd name="connsiteY3" fmla="*/ 2893708 h 2893708"/>
            <a:gd name="connsiteX4" fmla="*/ 0 w 1554596"/>
            <a:gd name="connsiteY4" fmla="*/ 2893708 h 2893708"/>
            <a:gd name="connsiteX5" fmla="*/ 1550581 w 1554596"/>
            <a:gd name="connsiteY5" fmla="*/ 1484894 h 2893708"/>
            <a:gd name="connsiteX6" fmla="*/ 914468 w 1554596"/>
            <a:gd name="connsiteY6" fmla="*/ 1471768 h 2893708"/>
            <a:gd name="connsiteX7" fmla="*/ 960192 w 1554596"/>
            <a:gd name="connsiteY7" fmla="*/ 1247467 h 2893708"/>
            <a:gd name="connsiteX8" fmla="*/ 1005915 w 1554596"/>
            <a:gd name="connsiteY8" fmla="*/ 515293 h 2893708"/>
            <a:gd name="connsiteX9" fmla="*/ 1051638 w 1554596"/>
            <a:gd name="connsiteY9" fmla="*/ 222307 h 2893708"/>
            <a:gd name="connsiteX10" fmla="*/ 1097362 w 1554596"/>
            <a:gd name="connsiteY10" fmla="*/ 0 h 2893708"/>
            <a:gd name="connsiteX11" fmla="*/ 1143086 w 1554596"/>
            <a:gd name="connsiteY11" fmla="*/ 370432 h 2893708"/>
            <a:gd name="connsiteX12" fmla="*/ 1188809 w 1554596"/>
            <a:gd name="connsiteY12" fmla="*/ 152848 h 2893708"/>
            <a:gd name="connsiteX13" fmla="*/ 1234532 w 1554596"/>
            <a:gd name="connsiteY13" fmla="*/ 279663 h 2893708"/>
            <a:gd name="connsiteX14" fmla="*/ 1280256 w 1554596"/>
            <a:gd name="connsiteY14" fmla="*/ 279663 h 2893708"/>
            <a:gd name="connsiteX15" fmla="*/ 1325979 w 1554596"/>
            <a:gd name="connsiteY15" fmla="*/ 448842 h 2893708"/>
            <a:gd name="connsiteX16" fmla="*/ 1371703 w 1554596"/>
            <a:gd name="connsiteY16" fmla="*/ 678342 h 2893708"/>
            <a:gd name="connsiteX17" fmla="*/ 1417426 w 1554596"/>
            <a:gd name="connsiteY17" fmla="*/ 909446 h 2893708"/>
            <a:gd name="connsiteX18" fmla="*/ 1463149 w 1554596"/>
            <a:gd name="connsiteY18" fmla="*/ 1120999 h 2893708"/>
            <a:gd name="connsiteX19" fmla="*/ 1508873 w 1554596"/>
            <a:gd name="connsiteY19" fmla="*/ 1266615 h 2893708"/>
            <a:gd name="connsiteX20" fmla="*/ 1554596 w 1554596"/>
            <a:gd name="connsiteY20" fmla="*/ 1480853 h 2893708"/>
            <a:gd name="connsiteX0" fmla="*/ 1554596 w 1554596"/>
            <a:gd name="connsiteY0" fmla="*/ 1480853 h 2893708"/>
            <a:gd name="connsiteX1" fmla="*/ 0 w 1554596"/>
            <a:gd name="connsiteY1" fmla="*/ 2893708 h 2893708"/>
            <a:gd name="connsiteX2" fmla="*/ 0 w 1554596"/>
            <a:gd name="connsiteY2" fmla="*/ 2893708 h 2893708"/>
            <a:gd name="connsiteX3" fmla="*/ 0 w 1554596"/>
            <a:gd name="connsiteY3" fmla="*/ 2893708 h 2893708"/>
            <a:gd name="connsiteX4" fmla="*/ 1550581 w 1554596"/>
            <a:gd name="connsiteY4" fmla="*/ 1484894 h 2893708"/>
            <a:gd name="connsiteX5" fmla="*/ 914468 w 1554596"/>
            <a:gd name="connsiteY5" fmla="*/ 1471768 h 2893708"/>
            <a:gd name="connsiteX6" fmla="*/ 960192 w 1554596"/>
            <a:gd name="connsiteY6" fmla="*/ 1247467 h 2893708"/>
            <a:gd name="connsiteX7" fmla="*/ 1005915 w 1554596"/>
            <a:gd name="connsiteY7" fmla="*/ 515293 h 2893708"/>
            <a:gd name="connsiteX8" fmla="*/ 1051638 w 1554596"/>
            <a:gd name="connsiteY8" fmla="*/ 222307 h 2893708"/>
            <a:gd name="connsiteX9" fmla="*/ 1097362 w 1554596"/>
            <a:gd name="connsiteY9" fmla="*/ 0 h 2893708"/>
            <a:gd name="connsiteX10" fmla="*/ 1143086 w 1554596"/>
            <a:gd name="connsiteY10" fmla="*/ 370432 h 2893708"/>
            <a:gd name="connsiteX11" fmla="*/ 1188809 w 1554596"/>
            <a:gd name="connsiteY11" fmla="*/ 152848 h 2893708"/>
            <a:gd name="connsiteX12" fmla="*/ 1234532 w 1554596"/>
            <a:gd name="connsiteY12" fmla="*/ 279663 h 2893708"/>
            <a:gd name="connsiteX13" fmla="*/ 1280256 w 1554596"/>
            <a:gd name="connsiteY13" fmla="*/ 279663 h 2893708"/>
            <a:gd name="connsiteX14" fmla="*/ 1325979 w 1554596"/>
            <a:gd name="connsiteY14" fmla="*/ 448842 h 2893708"/>
            <a:gd name="connsiteX15" fmla="*/ 1371703 w 1554596"/>
            <a:gd name="connsiteY15" fmla="*/ 678342 h 2893708"/>
            <a:gd name="connsiteX16" fmla="*/ 1417426 w 1554596"/>
            <a:gd name="connsiteY16" fmla="*/ 909446 h 2893708"/>
            <a:gd name="connsiteX17" fmla="*/ 1463149 w 1554596"/>
            <a:gd name="connsiteY17" fmla="*/ 1120999 h 2893708"/>
            <a:gd name="connsiteX18" fmla="*/ 1508873 w 1554596"/>
            <a:gd name="connsiteY18" fmla="*/ 1266615 h 2893708"/>
            <a:gd name="connsiteX19" fmla="*/ 1554596 w 1554596"/>
            <a:gd name="connsiteY19" fmla="*/ 1480853 h 2893708"/>
            <a:gd name="connsiteX0" fmla="*/ 1554596 w 1554596"/>
            <a:gd name="connsiteY0" fmla="*/ 1480853 h 2893708"/>
            <a:gd name="connsiteX1" fmla="*/ 0 w 1554596"/>
            <a:gd name="connsiteY1" fmla="*/ 2893708 h 2893708"/>
            <a:gd name="connsiteX2" fmla="*/ 0 w 1554596"/>
            <a:gd name="connsiteY2" fmla="*/ 2893708 h 2893708"/>
            <a:gd name="connsiteX3" fmla="*/ 1550581 w 1554596"/>
            <a:gd name="connsiteY3" fmla="*/ 1484894 h 2893708"/>
            <a:gd name="connsiteX4" fmla="*/ 914468 w 1554596"/>
            <a:gd name="connsiteY4" fmla="*/ 1471768 h 2893708"/>
            <a:gd name="connsiteX5" fmla="*/ 960192 w 1554596"/>
            <a:gd name="connsiteY5" fmla="*/ 1247467 h 2893708"/>
            <a:gd name="connsiteX6" fmla="*/ 1005915 w 1554596"/>
            <a:gd name="connsiteY6" fmla="*/ 515293 h 2893708"/>
            <a:gd name="connsiteX7" fmla="*/ 1051638 w 1554596"/>
            <a:gd name="connsiteY7" fmla="*/ 222307 h 2893708"/>
            <a:gd name="connsiteX8" fmla="*/ 1097362 w 1554596"/>
            <a:gd name="connsiteY8" fmla="*/ 0 h 2893708"/>
            <a:gd name="connsiteX9" fmla="*/ 1143086 w 1554596"/>
            <a:gd name="connsiteY9" fmla="*/ 370432 h 2893708"/>
            <a:gd name="connsiteX10" fmla="*/ 1188809 w 1554596"/>
            <a:gd name="connsiteY10" fmla="*/ 152848 h 2893708"/>
            <a:gd name="connsiteX11" fmla="*/ 1234532 w 1554596"/>
            <a:gd name="connsiteY11" fmla="*/ 279663 h 2893708"/>
            <a:gd name="connsiteX12" fmla="*/ 1280256 w 1554596"/>
            <a:gd name="connsiteY12" fmla="*/ 279663 h 2893708"/>
            <a:gd name="connsiteX13" fmla="*/ 1325979 w 1554596"/>
            <a:gd name="connsiteY13" fmla="*/ 448842 h 2893708"/>
            <a:gd name="connsiteX14" fmla="*/ 1371703 w 1554596"/>
            <a:gd name="connsiteY14" fmla="*/ 678342 h 2893708"/>
            <a:gd name="connsiteX15" fmla="*/ 1417426 w 1554596"/>
            <a:gd name="connsiteY15" fmla="*/ 909446 h 2893708"/>
            <a:gd name="connsiteX16" fmla="*/ 1463149 w 1554596"/>
            <a:gd name="connsiteY16" fmla="*/ 1120999 h 2893708"/>
            <a:gd name="connsiteX17" fmla="*/ 1508873 w 1554596"/>
            <a:gd name="connsiteY17" fmla="*/ 1266615 h 2893708"/>
            <a:gd name="connsiteX18" fmla="*/ 1554596 w 1554596"/>
            <a:gd name="connsiteY18" fmla="*/ 1480853 h 2893708"/>
            <a:gd name="connsiteX0" fmla="*/ 1554596 w 1554596"/>
            <a:gd name="connsiteY0" fmla="*/ 1480853 h 2893708"/>
            <a:gd name="connsiteX1" fmla="*/ 0 w 1554596"/>
            <a:gd name="connsiteY1" fmla="*/ 2893708 h 2893708"/>
            <a:gd name="connsiteX2" fmla="*/ 1550581 w 1554596"/>
            <a:gd name="connsiteY2" fmla="*/ 1484894 h 2893708"/>
            <a:gd name="connsiteX3" fmla="*/ 914468 w 1554596"/>
            <a:gd name="connsiteY3" fmla="*/ 1471768 h 2893708"/>
            <a:gd name="connsiteX4" fmla="*/ 960192 w 1554596"/>
            <a:gd name="connsiteY4" fmla="*/ 1247467 h 2893708"/>
            <a:gd name="connsiteX5" fmla="*/ 1005915 w 1554596"/>
            <a:gd name="connsiteY5" fmla="*/ 515293 h 2893708"/>
            <a:gd name="connsiteX6" fmla="*/ 1051638 w 1554596"/>
            <a:gd name="connsiteY6" fmla="*/ 222307 h 2893708"/>
            <a:gd name="connsiteX7" fmla="*/ 1097362 w 1554596"/>
            <a:gd name="connsiteY7" fmla="*/ 0 h 2893708"/>
            <a:gd name="connsiteX8" fmla="*/ 1143086 w 1554596"/>
            <a:gd name="connsiteY8" fmla="*/ 370432 h 2893708"/>
            <a:gd name="connsiteX9" fmla="*/ 1188809 w 1554596"/>
            <a:gd name="connsiteY9" fmla="*/ 152848 h 2893708"/>
            <a:gd name="connsiteX10" fmla="*/ 1234532 w 1554596"/>
            <a:gd name="connsiteY10" fmla="*/ 279663 h 2893708"/>
            <a:gd name="connsiteX11" fmla="*/ 1280256 w 1554596"/>
            <a:gd name="connsiteY11" fmla="*/ 279663 h 2893708"/>
            <a:gd name="connsiteX12" fmla="*/ 1325979 w 1554596"/>
            <a:gd name="connsiteY12" fmla="*/ 448842 h 2893708"/>
            <a:gd name="connsiteX13" fmla="*/ 1371703 w 1554596"/>
            <a:gd name="connsiteY13" fmla="*/ 678342 h 2893708"/>
            <a:gd name="connsiteX14" fmla="*/ 1417426 w 1554596"/>
            <a:gd name="connsiteY14" fmla="*/ 909446 h 2893708"/>
            <a:gd name="connsiteX15" fmla="*/ 1463149 w 1554596"/>
            <a:gd name="connsiteY15" fmla="*/ 1120999 h 2893708"/>
            <a:gd name="connsiteX16" fmla="*/ 1508873 w 1554596"/>
            <a:gd name="connsiteY16" fmla="*/ 1266615 h 2893708"/>
            <a:gd name="connsiteX17" fmla="*/ 1554596 w 1554596"/>
            <a:gd name="connsiteY17" fmla="*/ 1480853 h 2893708"/>
            <a:gd name="connsiteX0" fmla="*/ 640128 w 640128"/>
            <a:gd name="connsiteY0" fmla="*/ 1480853 h 1484894"/>
            <a:gd name="connsiteX1" fmla="*/ 636113 w 640128"/>
            <a:gd name="connsiteY1" fmla="*/ 1484894 h 1484894"/>
            <a:gd name="connsiteX2" fmla="*/ 0 w 640128"/>
            <a:gd name="connsiteY2" fmla="*/ 1471768 h 1484894"/>
            <a:gd name="connsiteX3" fmla="*/ 45724 w 640128"/>
            <a:gd name="connsiteY3" fmla="*/ 1247467 h 1484894"/>
            <a:gd name="connsiteX4" fmla="*/ 91447 w 640128"/>
            <a:gd name="connsiteY4" fmla="*/ 515293 h 1484894"/>
            <a:gd name="connsiteX5" fmla="*/ 137170 w 640128"/>
            <a:gd name="connsiteY5" fmla="*/ 222307 h 1484894"/>
            <a:gd name="connsiteX6" fmla="*/ 182894 w 640128"/>
            <a:gd name="connsiteY6" fmla="*/ 0 h 1484894"/>
            <a:gd name="connsiteX7" fmla="*/ 228618 w 640128"/>
            <a:gd name="connsiteY7" fmla="*/ 370432 h 1484894"/>
            <a:gd name="connsiteX8" fmla="*/ 274341 w 640128"/>
            <a:gd name="connsiteY8" fmla="*/ 152848 h 1484894"/>
            <a:gd name="connsiteX9" fmla="*/ 320064 w 640128"/>
            <a:gd name="connsiteY9" fmla="*/ 279663 h 1484894"/>
            <a:gd name="connsiteX10" fmla="*/ 365788 w 640128"/>
            <a:gd name="connsiteY10" fmla="*/ 279663 h 1484894"/>
            <a:gd name="connsiteX11" fmla="*/ 411511 w 640128"/>
            <a:gd name="connsiteY11" fmla="*/ 448842 h 1484894"/>
            <a:gd name="connsiteX12" fmla="*/ 457235 w 640128"/>
            <a:gd name="connsiteY12" fmla="*/ 678342 h 1484894"/>
            <a:gd name="connsiteX13" fmla="*/ 502958 w 640128"/>
            <a:gd name="connsiteY13" fmla="*/ 909446 h 1484894"/>
            <a:gd name="connsiteX14" fmla="*/ 548681 w 640128"/>
            <a:gd name="connsiteY14" fmla="*/ 1120999 h 1484894"/>
            <a:gd name="connsiteX15" fmla="*/ 594405 w 640128"/>
            <a:gd name="connsiteY15" fmla="*/ 1266615 h 1484894"/>
            <a:gd name="connsiteX16" fmla="*/ 640128 w 640128"/>
            <a:gd name="connsiteY16" fmla="*/ 1480853 h 1484894"/>
            <a:gd name="connsiteX0" fmla="*/ 675570 w 675570"/>
            <a:gd name="connsiteY0" fmla="*/ 1480853 h 1578093"/>
            <a:gd name="connsiteX1" fmla="*/ 671555 w 675570"/>
            <a:gd name="connsiteY1" fmla="*/ 1484894 h 1578093"/>
            <a:gd name="connsiteX2" fmla="*/ 0 w 675570"/>
            <a:gd name="connsiteY2" fmla="*/ 1578093 h 1578093"/>
            <a:gd name="connsiteX3" fmla="*/ 81166 w 675570"/>
            <a:gd name="connsiteY3" fmla="*/ 1247467 h 1578093"/>
            <a:gd name="connsiteX4" fmla="*/ 126889 w 675570"/>
            <a:gd name="connsiteY4" fmla="*/ 515293 h 1578093"/>
            <a:gd name="connsiteX5" fmla="*/ 172612 w 675570"/>
            <a:gd name="connsiteY5" fmla="*/ 222307 h 1578093"/>
            <a:gd name="connsiteX6" fmla="*/ 218336 w 675570"/>
            <a:gd name="connsiteY6" fmla="*/ 0 h 1578093"/>
            <a:gd name="connsiteX7" fmla="*/ 264060 w 675570"/>
            <a:gd name="connsiteY7" fmla="*/ 370432 h 1578093"/>
            <a:gd name="connsiteX8" fmla="*/ 309783 w 675570"/>
            <a:gd name="connsiteY8" fmla="*/ 152848 h 1578093"/>
            <a:gd name="connsiteX9" fmla="*/ 355506 w 675570"/>
            <a:gd name="connsiteY9" fmla="*/ 279663 h 1578093"/>
            <a:gd name="connsiteX10" fmla="*/ 401230 w 675570"/>
            <a:gd name="connsiteY10" fmla="*/ 279663 h 1578093"/>
            <a:gd name="connsiteX11" fmla="*/ 446953 w 675570"/>
            <a:gd name="connsiteY11" fmla="*/ 448842 h 1578093"/>
            <a:gd name="connsiteX12" fmla="*/ 492677 w 675570"/>
            <a:gd name="connsiteY12" fmla="*/ 678342 h 1578093"/>
            <a:gd name="connsiteX13" fmla="*/ 538400 w 675570"/>
            <a:gd name="connsiteY13" fmla="*/ 909446 h 1578093"/>
            <a:gd name="connsiteX14" fmla="*/ 584123 w 675570"/>
            <a:gd name="connsiteY14" fmla="*/ 1120999 h 1578093"/>
            <a:gd name="connsiteX15" fmla="*/ 629847 w 675570"/>
            <a:gd name="connsiteY15" fmla="*/ 1266615 h 1578093"/>
            <a:gd name="connsiteX16" fmla="*/ 675570 w 675570"/>
            <a:gd name="connsiteY16" fmla="*/ 1480853 h 1578093"/>
            <a:gd name="connsiteX0" fmla="*/ 693291 w 693291"/>
            <a:gd name="connsiteY0" fmla="*/ 1569458 h 1578093"/>
            <a:gd name="connsiteX1" fmla="*/ 671555 w 693291"/>
            <a:gd name="connsiteY1" fmla="*/ 1484894 h 1578093"/>
            <a:gd name="connsiteX2" fmla="*/ 0 w 693291"/>
            <a:gd name="connsiteY2" fmla="*/ 1578093 h 1578093"/>
            <a:gd name="connsiteX3" fmla="*/ 81166 w 693291"/>
            <a:gd name="connsiteY3" fmla="*/ 1247467 h 1578093"/>
            <a:gd name="connsiteX4" fmla="*/ 126889 w 693291"/>
            <a:gd name="connsiteY4" fmla="*/ 515293 h 1578093"/>
            <a:gd name="connsiteX5" fmla="*/ 172612 w 693291"/>
            <a:gd name="connsiteY5" fmla="*/ 222307 h 1578093"/>
            <a:gd name="connsiteX6" fmla="*/ 218336 w 693291"/>
            <a:gd name="connsiteY6" fmla="*/ 0 h 1578093"/>
            <a:gd name="connsiteX7" fmla="*/ 264060 w 693291"/>
            <a:gd name="connsiteY7" fmla="*/ 370432 h 1578093"/>
            <a:gd name="connsiteX8" fmla="*/ 309783 w 693291"/>
            <a:gd name="connsiteY8" fmla="*/ 152848 h 1578093"/>
            <a:gd name="connsiteX9" fmla="*/ 355506 w 693291"/>
            <a:gd name="connsiteY9" fmla="*/ 279663 h 1578093"/>
            <a:gd name="connsiteX10" fmla="*/ 401230 w 693291"/>
            <a:gd name="connsiteY10" fmla="*/ 279663 h 1578093"/>
            <a:gd name="connsiteX11" fmla="*/ 446953 w 693291"/>
            <a:gd name="connsiteY11" fmla="*/ 448842 h 1578093"/>
            <a:gd name="connsiteX12" fmla="*/ 492677 w 693291"/>
            <a:gd name="connsiteY12" fmla="*/ 678342 h 1578093"/>
            <a:gd name="connsiteX13" fmla="*/ 538400 w 693291"/>
            <a:gd name="connsiteY13" fmla="*/ 909446 h 1578093"/>
            <a:gd name="connsiteX14" fmla="*/ 584123 w 693291"/>
            <a:gd name="connsiteY14" fmla="*/ 1120999 h 1578093"/>
            <a:gd name="connsiteX15" fmla="*/ 629847 w 693291"/>
            <a:gd name="connsiteY15" fmla="*/ 1266615 h 1578093"/>
            <a:gd name="connsiteX16" fmla="*/ 693291 w 693291"/>
            <a:gd name="connsiteY16" fmla="*/ 1569458 h 1578093"/>
            <a:gd name="connsiteX0" fmla="*/ 693291 w 693291"/>
            <a:gd name="connsiteY0" fmla="*/ 1569458 h 1578093"/>
            <a:gd name="connsiteX1" fmla="*/ 680415 w 693291"/>
            <a:gd name="connsiteY1" fmla="*/ 1555777 h 1578093"/>
            <a:gd name="connsiteX2" fmla="*/ 0 w 693291"/>
            <a:gd name="connsiteY2" fmla="*/ 1578093 h 1578093"/>
            <a:gd name="connsiteX3" fmla="*/ 81166 w 693291"/>
            <a:gd name="connsiteY3" fmla="*/ 1247467 h 1578093"/>
            <a:gd name="connsiteX4" fmla="*/ 126889 w 693291"/>
            <a:gd name="connsiteY4" fmla="*/ 515293 h 1578093"/>
            <a:gd name="connsiteX5" fmla="*/ 172612 w 693291"/>
            <a:gd name="connsiteY5" fmla="*/ 222307 h 1578093"/>
            <a:gd name="connsiteX6" fmla="*/ 218336 w 693291"/>
            <a:gd name="connsiteY6" fmla="*/ 0 h 1578093"/>
            <a:gd name="connsiteX7" fmla="*/ 264060 w 693291"/>
            <a:gd name="connsiteY7" fmla="*/ 370432 h 1578093"/>
            <a:gd name="connsiteX8" fmla="*/ 309783 w 693291"/>
            <a:gd name="connsiteY8" fmla="*/ 152848 h 1578093"/>
            <a:gd name="connsiteX9" fmla="*/ 355506 w 693291"/>
            <a:gd name="connsiteY9" fmla="*/ 279663 h 1578093"/>
            <a:gd name="connsiteX10" fmla="*/ 401230 w 693291"/>
            <a:gd name="connsiteY10" fmla="*/ 279663 h 1578093"/>
            <a:gd name="connsiteX11" fmla="*/ 446953 w 693291"/>
            <a:gd name="connsiteY11" fmla="*/ 448842 h 1578093"/>
            <a:gd name="connsiteX12" fmla="*/ 492677 w 693291"/>
            <a:gd name="connsiteY12" fmla="*/ 678342 h 1578093"/>
            <a:gd name="connsiteX13" fmla="*/ 538400 w 693291"/>
            <a:gd name="connsiteY13" fmla="*/ 909446 h 1578093"/>
            <a:gd name="connsiteX14" fmla="*/ 584123 w 693291"/>
            <a:gd name="connsiteY14" fmla="*/ 1120999 h 1578093"/>
            <a:gd name="connsiteX15" fmla="*/ 629847 w 693291"/>
            <a:gd name="connsiteY15" fmla="*/ 1266615 h 1578093"/>
            <a:gd name="connsiteX16" fmla="*/ 693291 w 693291"/>
            <a:gd name="connsiteY16" fmla="*/ 1569458 h 1578093"/>
            <a:gd name="connsiteX0" fmla="*/ 693291 w 693291"/>
            <a:gd name="connsiteY0" fmla="*/ 1569458 h 1569458"/>
            <a:gd name="connsiteX1" fmla="*/ 680415 w 693291"/>
            <a:gd name="connsiteY1" fmla="*/ 1555777 h 1569458"/>
            <a:gd name="connsiteX2" fmla="*/ 0 w 693291"/>
            <a:gd name="connsiteY2" fmla="*/ 1542651 h 1569458"/>
            <a:gd name="connsiteX3" fmla="*/ 81166 w 693291"/>
            <a:gd name="connsiteY3" fmla="*/ 1247467 h 1569458"/>
            <a:gd name="connsiteX4" fmla="*/ 126889 w 693291"/>
            <a:gd name="connsiteY4" fmla="*/ 515293 h 1569458"/>
            <a:gd name="connsiteX5" fmla="*/ 172612 w 693291"/>
            <a:gd name="connsiteY5" fmla="*/ 222307 h 1569458"/>
            <a:gd name="connsiteX6" fmla="*/ 218336 w 693291"/>
            <a:gd name="connsiteY6" fmla="*/ 0 h 1569458"/>
            <a:gd name="connsiteX7" fmla="*/ 264060 w 693291"/>
            <a:gd name="connsiteY7" fmla="*/ 370432 h 1569458"/>
            <a:gd name="connsiteX8" fmla="*/ 309783 w 693291"/>
            <a:gd name="connsiteY8" fmla="*/ 152848 h 1569458"/>
            <a:gd name="connsiteX9" fmla="*/ 355506 w 693291"/>
            <a:gd name="connsiteY9" fmla="*/ 279663 h 1569458"/>
            <a:gd name="connsiteX10" fmla="*/ 401230 w 693291"/>
            <a:gd name="connsiteY10" fmla="*/ 279663 h 1569458"/>
            <a:gd name="connsiteX11" fmla="*/ 446953 w 693291"/>
            <a:gd name="connsiteY11" fmla="*/ 448842 h 1569458"/>
            <a:gd name="connsiteX12" fmla="*/ 492677 w 693291"/>
            <a:gd name="connsiteY12" fmla="*/ 678342 h 1569458"/>
            <a:gd name="connsiteX13" fmla="*/ 538400 w 693291"/>
            <a:gd name="connsiteY13" fmla="*/ 909446 h 1569458"/>
            <a:gd name="connsiteX14" fmla="*/ 584123 w 693291"/>
            <a:gd name="connsiteY14" fmla="*/ 1120999 h 1569458"/>
            <a:gd name="connsiteX15" fmla="*/ 629847 w 693291"/>
            <a:gd name="connsiteY15" fmla="*/ 1266615 h 1569458"/>
            <a:gd name="connsiteX16" fmla="*/ 693291 w 693291"/>
            <a:gd name="connsiteY16" fmla="*/ 1569458 h 156945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</a:cxnLst>
          <a:rect l="l" t="t" r="r" b="b"/>
          <a:pathLst>
            <a:path w="693291" h="1569458">
              <a:moveTo>
                <a:pt x="693291" y="1569458"/>
              </a:moveTo>
              <a:lnTo>
                <a:pt x="680415" y="1555777"/>
              </a:lnTo>
              <a:lnTo>
                <a:pt x="0" y="1542651"/>
              </a:lnTo>
              <a:lnTo>
                <a:pt x="81166" y="1247467"/>
              </a:lnTo>
              <a:lnTo>
                <a:pt x="126889" y="515293"/>
              </a:lnTo>
              <a:lnTo>
                <a:pt x="172612" y="222307"/>
              </a:lnTo>
              <a:lnTo>
                <a:pt x="218336" y="0"/>
              </a:lnTo>
              <a:lnTo>
                <a:pt x="264060" y="370432"/>
              </a:lnTo>
              <a:lnTo>
                <a:pt x="309783" y="152848"/>
              </a:lnTo>
              <a:lnTo>
                <a:pt x="355506" y="279663"/>
              </a:lnTo>
              <a:lnTo>
                <a:pt x="401230" y="279663"/>
              </a:lnTo>
              <a:lnTo>
                <a:pt x="446953" y="448842"/>
              </a:lnTo>
              <a:lnTo>
                <a:pt x="492677" y="678342"/>
              </a:lnTo>
              <a:lnTo>
                <a:pt x="538400" y="909446"/>
              </a:lnTo>
              <a:lnTo>
                <a:pt x="584123" y="1120999"/>
              </a:lnTo>
              <a:lnTo>
                <a:pt x="629847" y="1266615"/>
              </a:lnTo>
              <a:lnTo>
                <a:pt x="693291" y="1569458"/>
              </a:lnTo>
              <a:close/>
            </a:path>
          </a:pathLst>
        </a:custGeom>
        <a:solidFill xmlns:a="http://schemas.openxmlformats.org/drawingml/2006/main">
          <a:srgbClr xmlns:mc="http://schemas.openxmlformats.org/markup-compatibility/2006" xmlns:a14="http://schemas.microsoft.com/office/drawing/2010/main" val="0000FF" mc:Ignorable="a14" a14:legacySpreadsheetColorIndex="4">
            <a:alpha val="56000"/>
          </a:srgbClr>
        </a:solidFill>
        <a:ln xmlns:a="http://schemas.openxmlformats.org/drawingml/2006/main" w="19050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0.10794</cdr:x>
      <cdr:y>0.51684</cdr:y>
    </cdr:from>
    <cdr:to>
      <cdr:x>0.13527</cdr:x>
      <cdr:y>0.53776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52567ADA-85B4-4205-84D9-51D27A172ECD}"/>
            </a:ext>
          </a:extLst>
        </cdr:cNvPr>
        <cdr:cNvSpPr/>
      </cdr:nvSpPr>
      <cdr:spPr>
        <a:xfrm xmlns:a="http://schemas.openxmlformats.org/drawingml/2006/main">
          <a:off x="1003300" y="3136900"/>
          <a:ext cx="254000" cy="127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0.20359</cdr:x>
      <cdr:y>0.51684</cdr:y>
    </cdr:from>
    <cdr:to>
      <cdr:x>0.21247</cdr:x>
      <cdr:y>0.53776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5E48CAD8-B0FC-4A3F-976F-A4047244F570}"/>
            </a:ext>
          </a:extLst>
        </cdr:cNvPr>
        <cdr:cNvSpPr/>
      </cdr:nvSpPr>
      <cdr:spPr>
        <a:xfrm xmlns:a="http://schemas.openxmlformats.org/drawingml/2006/main">
          <a:off x="1892300" y="3136900"/>
          <a:ext cx="82550" cy="127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0.21725</cdr:x>
      <cdr:y>0.51684</cdr:y>
    </cdr:from>
    <cdr:to>
      <cdr:x>0.23092</cdr:x>
      <cdr:y>0.53776</cdr:y>
    </cdr:to>
    <cdr:sp macro="" textlink="">
      <cdr:nvSpPr>
        <cdr:cNvPr id="4" name="Rectangle 3">
          <a:extLst xmlns:a="http://schemas.openxmlformats.org/drawingml/2006/main">
            <a:ext uri="{FF2B5EF4-FFF2-40B4-BE49-F238E27FC236}">
              <a16:creationId xmlns:a16="http://schemas.microsoft.com/office/drawing/2014/main" id="{5197D3D4-3962-4515-82F4-17AD34B67FE5}"/>
            </a:ext>
          </a:extLst>
        </cdr:cNvPr>
        <cdr:cNvSpPr/>
      </cdr:nvSpPr>
      <cdr:spPr>
        <a:xfrm xmlns:a="http://schemas.openxmlformats.org/drawingml/2006/main">
          <a:off x="2019300" y="3136900"/>
          <a:ext cx="127000" cy="127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0.29924</cdr:x>
      <cdr:y>0.51684</cdr:y>
    </cdr:from>
    <cdr:to>
      <cdr:x>0.32656</cdr:x>
      <cdr:y>0.53776</cdr:y>
    </cdr:to>
    <cdr:sp macro="" textlink="">
      <cdr:nvSpPr>
        <cdr:cNvPr id="5" name="Rectangle 4">
          <a:extLst xmlns:a="http://schemas.openxmlformats.org/drawingml/2006/main">
            <a:ext uri="{FF2B5EF4-FFF2-40B4-BE49-F238E27FC236}">
              <a16:creationId xmlns:a16="http://schemas.microsoft.com/office/drawing/2014/main" id="{C0139601-09EB-4BCC-8D17-9D0A99DC6A12}"/>
            </a:ext>
          </a:extLst>
        </cdr:cNvPr>
        <cdr:cNvSpPr/>
      </cdr:nvSpPr>
      <cdr:spPr>
        <a:xfrm xmlns:a="http://schemas.openxmlformats.org/drawingml/2006/main">
          <a:off x="2781300" y="3136900"/>
          <a:ext cx="254000" cy="127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0.39488</cdr:x>
      <cdr:y>0.52144</cdr:y>
    </cdr:from>
    <cdr:to>
      <cdr:x>0.42221</cdr:x>
      <cdr:y>0.53609</cdr:y>
    </cdr:to>
    <cdr:sp macro="" textlink="">
      <cdr:nvSpPr>
        <cdr:cNvPr id="6" name="Rectangle 5">
          <a:extLst xmlns:a="http://schemas.openxmlformats.org/drawingml/2006/main">
            <a:ext uri="{FF2B5EF4-FFF2-40B4-BE49-F238E27FC236}">
              <a16:creationId xmlns:a16="http://schemas.microsoft.com/office/drawing/2014/main" id="{463661C9-1B3A-449A-8114-9EBFE3324E34}"/>
            </a:ext>
          </a:extLst>
        </cdr:cNvPr>
        <cdr:cNvSpPr/>
      </cdr:nvSpPr>
      <cdr:spPr>
        <a:xfrm xmlns:a="http://schemas.openxmlformats.org/drawingml/2006/main">
          <a:off x="3670300" y="3164840"/>
          <a:ext cx="254000" cy="889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0.49053</cdr:x>
      <cdr:y>0.51956</cdr:y>
    </cdr:from>
    <cdr:to>
      <cdr:x>0.50419</cdr:x>
      <cdr:y>0.53525</cdr:y>
    </cdr:to>
    <cdr:sp macro="" textlink="">
      <cdr:nvSpPr>
        <cdr:cNvPr id="7" name="Rectangle 6">
          <a:extLst xmlns:a="http://schemas.openxmlformats.org/drawingml/2006/main">
            <a:ext uri="{FF2B5EF4-FFF2-40B4-BE49-F238E27FC236}">
              <a16:creationId xmlns:a16="http://schemas.microsoft.com/office/drawing/2014/main" id="{5012E5C9-7025-4B91-97D9-0C8E0B8A62FA}"/>
            </a:ext>
          </a:extLst>
        </cdr:cNvPr>
        <cdr:cNvSpPr/>
      </cdr:nvSpPr>
      <cdr:spPr>
        <a:xfrm xmlns:a="http://schemas.openxmlformats.org/drawingml/2006/main">
          <a:off x="4559300" y="3153410"/>
          <a:ext cx="127000" cy="9525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0.50556</cdr:x>
      <cdr:y>0.51956</cdr:y>
    </cdr:from>
    <cdr:to>
      <cdr:x>0.51922</cdr:x>
      <cdr:y>0.53525</cdr:y>
    </cdr:to>
    <cdr:sp macro="" textlink="">
      <cdr:nvSpPr>
        <cdr:cNvPr id="8" name="Rectangle 7">
          <a:extLst xmlns:a="http://schemas.openxmlformats.org/drawingml/2006/main">
            <a:ext uri="{FF2B5EF4-FFF2-40B4-BE49-F238E27FC236}">
              <a16:creationId xmlns:a16="http://schemas.microsoft.com/office/drawing/2014/main" id="{E25EA8F5-7C97-45ED-877A-586FFB4B5793}"/>
            </a:ext>
          </a:extLst>
        </cdr:cNvPr>
        <cdr:cNvSpPr/>
      </cdr:nvSpPr>
      <cdr:spPr>
        <a:xfrm xmlns:a="http://schemas.openxmlformats.org/drawingml/2006/main">
          <a:off x="4699000" y="3153410"/>
          <a:ext cx="127000" cy="9525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0.58618</cdr:x>
      <cdr:y>0.51684</cdr:y>
    </cdr:from>
    <cdr:to>
      <cdr:x>0.59643</cdr:x>
      <cdr:y>0.53776</cdr:y>
    </cdr:to>
    <cdr:sp macro="" textlink="">
      <cdr:nvSpPr>
        <cdr:cNvPr id="9" name="Rectangle 8">
          <a:extLst xmlns:a="http://schemas.openxmlformats.org/drawingml/2006/main">
            <a:ext uri="{FF2B5EF4-FFF2-40B4-BE49-F238E27FC236}">
              <a16:creationId xmlns:a16="http://schemas.microsoft.com/office/drawing/2014/main" id="{BFB823FA-1FA4-4B20-9B00-11AFB63AC171}"/>
            </a:ext>
          </a:extLst>
        </cdr:cNvPr>
        <cdr:cNvSpPr/>
      </cdr:nvSpPr>
      <cdr:spPr>
        <a:xfrm xmlns:a="http://schemas.openxmlformats.org/drawingml/2006/main">
          <a:off x="5448300" y="3136900"/>
          <a:ext cx="95250" cy="127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0.60257</cdr:x>
      <cdr:y>0.51684</cdr:y>
    </cdr:from>
    <cdr:to>
      <cdr:x>0.61419</cdr:x>
      <cdr:y>0.53776</cdr:y>
    </cdr:to>
    <cdr:sp macro="" textlink="">
      <cdr:nvSpPr>
        <cdr:cNvPr id="10" name="Rectangle 9">
          <a:extLst xmlns:a="http://schemas.openxmlformats.org/drawingml/2006/main">
            <a:ext uri="{FF2B5EF4-FFF2-40B4-BE49-F238E27FC236}">
              <a16:creationId xmlns:a16="http://schemas.microsoft.com/office/drawing/2014/main" id="{D479289C-1350-4AB2-89BA-BBE7F97FFDB0}"/>
            </a:ext>
          </a:extLst>
        </cdr:cNvPr>
        <cdr:cNvSpPr/>
      </cdr:nvSpPr>
      <cdr:spPr>
        <a:xfrm xmlns:a="http://schemas.openxmlformats.org/drawingml/2006/main">
          <a:off x="5600700" y="3136900"/>
          <a:ext cx="107950" cy="127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0.68182</cdr:x>
      <cdr:y>0.51684</cdr:y>
    </cdr:from>
    <cdr:to>
      <cdr:x>0.91411</cdr:x>
      <cdr:y>0.53776</cdr:y>
    </cdr:to>
    <cdr:sp macro="" textlink="">
      <cdr:nvSpPr>
        <cdr:cNvPr id="11" name="Rectangle 10">
          <a:extLst xmlns:a="http://schemas.openxmlformats.org/drawingml/2006/main">
            <a:ext uri="{FF2B5EF4-FFF2-40B4-BE49-F238E27FC236}">
              <a16:creationId xmlns:a16="http://schemas.microsoft.com/office/drawing/2014/main" id="{27C4A999-D8EC-41DC-AEF0-955E533D6908}"/>
            </a:ext>
          </a:extLst>
        </cdr:cNvPr>
        <cdr:cNvSpPr/>
      </cdr:nvSpPr>
      <cdr:spPr>
        <a:xfrm xmlns:a="http://schemas.openxmlformats.org/drawingml/2006/main">
          <a:off x="6337300" y="3136900"/>
          <a:ext cx="2159000" cy="127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0.47687</cdr:x>
      <cdr:y>0.56329</cdr:y>
    </cdr:from>
    <cdr:to>
      <cdr:x>0.49736</cdr:x>
      <cdr:y>0.91901</cdr:y>
    </cdr:to>
    <cdr:sp macro="" textlink="">
      <cdr:nvSpPr>
        <cdr:cNvPr id="12" name="Rectangle 11">
          <a:extLst xmlns:a="http://schemas.openxmlformats.org/drawingml/2006/main">
            <a:ext uri="{FF2B5EF4-FFF2-40B4-BE49-F238E27FC236}">
              <a16:creationId xmlns:a16="http://schemas.microsoft.com/office/drawing/2014/main" id="{5F238C2F-5A0D-45CB-B7B1-5523E71C143B}"/>
            </a:ext>
          </a:extLst>
        </cdr:cNvPr>
        <cdr:cNvSpPr/>
      </cdr:nvSpPr>
      <cdr:spPr>
        <a:xfrm xmlns:a="http://schemas.openxmlformats.org/drawingml/2006/main">
          <a:off x="4432300" y="3418840"/>
          <a:ext cx="190500" cy="2159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0.47687</cdr:x>
      <cdr:y>0.50052</cdr:y>
    </cdr:from>
    <cdr:to>
      <cdr:x>0.49053</cdr:x>
      <cdr:y>0.50889</cdr:y>
    </cdr:to>
    <cdr:sp macro="" textlink="">
      <cdr:nvSpPr>
        <cdr:cNvPr id="13" name="Rectangle 12">
          <a:extLst xmlns:a="http://schemas.openxmlformats.org/drawingml/2006/main">
            <a:ext uri="{FF2B5EF4-FFF2-40B4-BE49-F238E27FC236}">
              <a16:creationId xmlns:a16="http://schemas.microsoft.com/office/drawing/2014/main" id="{45B8A103-5034-4955-AA54-240E8D242F37}"/>
            </a:ext>
          </a:extLst>
        </cdr:cNvPr>
        <cdr:cNvSpPr/>
      </cdr:nvSpPr>
      <cdr:spPr>
        <a:xfrm xmlns:a="http://schemas.openxmlformats.org/drawingml/2006/main">
          <a:off x="4432300" y="3037840"/>
          <a:ext cx="127000" cy="508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0.48489</cdr:x>
      <cdr:y>0.49152</cdr:y>
    </cdr:from>
    <cdr:to>
      <cdr:x>0.4898</cdr:x>
      <cdr:y>0.49905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8CA10E27-E815-4353-A98C-7E3F27A087DC}"/>
            </a:ext>
          </a:extLst>
        </cdr:cNvPr>
        <cdr:cNvSpPr/>
      </cdr:nvSpPr>
      <cdr:spPr>
        <a:xfrm xmlns:a="http://schemas.openxmlformats.org/drawingml/2006/main">
          <a:off x="4506826" y="2983231"/>
          <a:ext cx="45719" cy="4571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0.47687</cdr:x>
      <cdr:y>0.28709</cdr:y>
    </cdr:from>
    <cdr:to>
      <cdr:x>0.49736</cdr:x>
      <cdr:y>0.43356</cdr:y>
    </cdr:to>
    <cdr:sp macro="" textlink="">
      <cdr:nvSpPr>
        <cdr:cNvPr id="15" name="Rectangle 14">
          <a:extLst xmlns:a="http://schemas.openxmlformats.org/drawingml/2006/main">
            <a:ext uri="{FF2B5EF4-FFF2-40B4-BE49-F238E27FC236}">
              <a16:creationId xmlns:a16="http://schemas.microsoft.com/office/drawing/2014/main" id="{8E6EAB90-7431-46A3-A2B3-DDBB63CB6663}"/>
            </a:ext>
          </a:extLst>
        </cdr:cNvPr>
        <cdr:cNvSpPr/>
      </cdr:nvSpPr>
      <cdr:spPr>
        <a:xfrm xmlns:a="http://schemas.openxmlformats.org/drawingml/2006/main">
          <a:off x="4432300" y="1742440"/>
          <a:ext cx="190500" cy="889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0.47687</cdr:x>
      <cdr:y>0.18665</cdr:y>
    </cdr:from>
    <cdr:to>
      <cdr:x>0.49736</cdr:x>
      <cdr:y>0.2285</cdr:y>
    </cdr:to>
    <cdr:sp macro="" textlink="">
      <cdr:nvSpPr>
        <cdr:cNvPr id="16" name="Rectangle 15">
          <a:extLst xmlns:a="http://schemas.openxmlformats.org/drawingml/2006/main">
            <a:ext uri="{FF2B5EF4-FFF2-40B4-BE49-F238E27FC236}">
              <a16:creationId xmlns:a16="http://schemas.microsoft.com/office/drawing/2014/main" id="{D7B42A34-6B13-402A-A02E-6DE43C7DB3D8}"/>
            </a:ext>
          </a:extLst>
        </cdr:cNvPr>
        <cdr:cNvSpPr/>
      </cdr:nvSpPr>
      <cdr:spPr>
        <a:xfrm xmlns:a="http://schemas.openxmlformats.org/drawingml/2006/main">
          <a:off x="4432300" y="1132840"/>
          <a:ext cx="190500" cy="254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0.47687</cdr:x>
      <cdr:y>0.11404</cdr:y>
    </cdr:from>
    <cdr:to>
      <cdr:x>0.49736</cdr:x>
      <cdr:y>0.13496</cdr:y>
    </cdr:to>
    <cdr:sp macro="" textlink="">
      <cdr:nvSpPr>
        <cdr:cNvPr id="17" name="Rectangle 16">
          <a:extLst xmlns:a="http://schemas.openxmlformats.org/drawingml/2006/main">
            <a:ext uri="{FF2B5EF4-FFF2-40B4-BE49-F238E27FC236}">
              <a16:creationId xmlns:a16="http://schemas.microsoft.com/office/drawing/2014/main" id="{DA297C98-62B8-4AC5-85C5-CA2E69ED0152}"/>
            </a:ext>
          </a:extLst>
        </cdr:cNvPr>
        <cdr:cNvSpPr/>
      </cdr:nvSpPr>
      <cdr:spPr>
        <a:xfrm xmlns:a="http://schemas.openxmlformats.org/drawingml/2006/main">
          <a:off x="4432300" y="692150"/>
          <a:ext cx="190500" cy="127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0.47687</cdr:x>
      <cdr:y>0.0973</cdr:y>
    </cdr:from>
    <cdr:to>
      <cdr:x>0.49736</cdr:x>
      <cdr:y>0.11822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6CACFF2F-5095-42F8-90E9-D457207564A9}"/>
            </a:ext>
          </a:extLst>
        </cdr:cNvPr>
        <cdr:cNvSpPr/>
      </cdr:nvSpPr>
      <cdr:spPr>
        <a:xfrm xmlns:a="http://schemas.openxmlformats.org/drawingml/2006/main">
          <a:off x="4432300" y="590550"/>
          <a:ext cx="190500" cy="127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0.10111</cdr:x>
      <cdr:y>0.50637</cdr:y>
    </cdr:from>
    <cdr:to>
      <cdr:x>0.15577</cdr:x>
      <cdr:y>0.56915</cdr:y>
    </cdr:to>
    <cdr:sp macro="" textlink="">
      <cdr:nvSpPr>
        <cdr:cNvPr id="19" name="TextBox 18">
          <a:extLst xmlns:a="http://schemas.openxmlformats.org/drawingml/2006/main">
            <a:ext uri="{FF2B5EF4-FFF2-40B4-BE49-F238E27FC236}">
              <a16:creationId xmlns:a16="http://schemas.microsoft.com/office/drawing/2014/main" id="{9B9A6461-17FD-4A02-849E-8C1ABA3CDBAA}"/>
            </a:ext>
          </a:extLst>
        </cdr:cNvPr>
        <cdr:cNvSpPr txBox="1"/>
      </cdr:nvSpPr>
      <cdr:spPr>
        <a:xfrm xmlns:a="http://schemas.openxmlformats.org/drawingml/2006/main">
          <a:off x="939800" y="3073400"/>
          <a:ext cx="508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3.58</a:t>
          </a:r>
        </a:p>
      </cdr:txBody>
    </cdr:sp>
  </cdr:relSizeAnchor>
  <cdr:relSizeAnchor xmlns:cdr="http://schemas.openxmlformats.org/drawingml/2006/chartDrawing">
    <cdr:from>
      <cdr:x>0.19676</cdr:x>
      <cdr:y>0.50637</cdr:y>
    </cdr:from>
    <cdr:to>
      <cdr:x>0.25141</cdr:x>
      <cdr:y>0.56915</cdr:y>
    </cdr:to>
    <cdr:sp macro="" textlink="">
      <cdr:nvSpPr>
        <cdr:cNvPr id="20" name="TextBox 19">
          <a:extLst xmlns:a="http://schemas.openxmlformats.org/drawingml/2006/main">
            <a:ext uri="{FF2B5EF4-FFF2-40B4-BE49-F238E27FC236}">
              <a16:creationId xmlns:a16="http://schemas.microsoft.com/office/drawing/2014/main" id="{9981BBC0-9A3C-4AC1-9323-582A1A5F87D1}"/>
            </a:ext>
          </a:extLst>
        </cdr:cNvPr>
        <cdr:cNvSpPr txBox="1"/>
      </cdr:nvSpPr>
      <cdr:spPr>
        <a:xfrm xmlns:a="http://schemas.openxmlformats.org/drawingml/2006/main">
          <a:off x="1828800" y="3073400"/>
          <a:ext cx="508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2.87</a:t>
          </a:r>
        </a:p>
      </cdr:txBody>
    </cdr:sp>
  </cdr:relSizeAnchor>
  <cdr:relSizeAnchor xmlns:cdr="http://schemas.openxmlformats.org/drawingml/2006/chartDrawing">
    <cdr:from>
      <cdr:x>0.29241</cdr:x>
      <cdr:y>0.50637</cdr:y>
    </cdr:from>
    <cdr:to>
      <cdr:x>0.34706</cdr:x>
      <cdr:y>0.56915</cdr:y>
    </cdr:to>
    <cdr:sp macro="" textlink="">
      <cdr:nvSpPr>
        <cdr:cNvPr id="21" name="TextBox 20">
          <a:extLst xmlns:a="http://schemas.openxmlformats.org/drawingml/2006/main">
            <a:ext uri="{FF2B5EF4-FFF2-40B4-BE49-F238E27FC236}">
              <a16:creationId xmlns:a16="http://schemas.microsoft.com/office/drawing/2014/main" id="{88800E17-DFE5-4CB0-9199-2537A1DE10C6}"/>
            </a:ext>
          </a:extLst>
        </cdr:cNvPr>
        <cdr:cNvSpPr txBox="1"/>
      </cdr:nvSpPr>
      <cdr:spPr>
        <a:xfrm xmlns:a="http://schemas.openxmlformats.org/drawingml/2006/main">
          <a:off x="2717800" y="3073400"/>
          <a:ext cx="508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2.16</a:t>
          </a:r>
        </a:p>
      </cdr:txBody>
    </cdr:sp>
  </cdr:relSizeAnchor>
  <cdr:relSizeAnchor xmlns:cdr="http://schemas.openxmlformats.org/drawingml/2006/chartDrawing">
    <cdr:from>
      <cdr:x>0.38805</cdr:x>
      <cdr:y>0.50637</cdr:y>
    </cdr:from>
    <cdr:to>
      <cdr:x>0.44271</cdr:x>
      <cdr:y>0.56915</cdr:y>
    </cdr:to>
    <cdr:sp macro="" textlink="">
      <cdr:nvSpPr>
        <cdr:cNvPr id="22" name="TextBox 21">
          <a:extLst xmlns:a="http://schemas.openxmlformats.org/drawingml/2006/main">
            <a:ext uri="{FF2B5EF4-FFF2-40B4-BE49-F238E27FC236}">
              <a16:creationId xmlns:a16="http://schemas.microsoft.com/office/drawing/2014/main" id="{91C62782-EF79-4923-986B-D9B4A5E9ACCE}"/>
            </a:ext>
          </a:extLst>
        </cdr:cNvPr>
        <cdr:cNvSpPr txBox="1"/>
      </cdr:nvSpPr>
      <cdr:spPr>
        <a:xfrm xmlns:a="http://schemas.openxmlformats.org/drawingml/2006/main">
          <a:off x="3606800" y="3073400"/>
          <a:ext cx="508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1.45</a:t>
          </a:r>
        </a:p>
      </cdr:txBody>
    </cdr:sp>
  </cdr:relSizeAnchor>
  <cdr:relSizeAnchor xmlns:cdr="http://schemas.openxmlformats.org/drawingml/2006/chartDrawing">
    <cdr:from>
      <cdr:x>0.4632</cdr:x>
      <cdr:y>0.57333</cdr:y>
    </cdr:from>
    <cdr:to>
      <cdr:x>0.51786</cdr:x>
      <cdr:y>0.63611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C2A44977-C14C-4BCF-BBAE-A9E358E01E15}"/>
            </a:ext>
          </a:extLst>
        </cdr:cNvPr>
        <cdr:cNvSpPr txBox="1"/>
      </cdr:nvSpPr>
      <cdr:spPr>
        <a:xfrm xmlns:a="http://schemas.openxmlformats.org/drawingml/2006/main">
          <a:off x="4305300" y="3479800"/>
          <a:ext cx="508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1.4</a:t>
          </a:r>
        </a:p>
      </cdr:txBody>
    </cdr:sp>
  </cdr:relSizeAnchor>
  <cdr:relSizeAnchor xmlns:cdr="http://schemas.openxmlformats.org/drawingml/2006/chartDrawing">
    <cdr:from>
      <cdr:x>0.4632</cdr:x>
      <cdr:y>0.66959</cdr:y>
    </cdr:from>
    <cdr:to>
      <cdr:x>0.51786</cdr:x>
      <cdr:y>0.73236</cdr:y>
    </cdr:to>
    <cdr:sp macro="" textlink="">
      <cdr:nvSpPr>
        <cdr:cNvPr id="24" name="TextBox 23">
          <a:extLst xmlns:a="http://schemas.openxmlformats.org/drawingml/2006/main">
            <a:ext uri="{FF2B5EF4-FFF2-40B4-BE49-F238E27FC236}">
              <a16:creationId xmlns:a16="http://schemas.microsoft.com/office/drawing/2014/main" id="{6962E7CF-05F2-467A-890C-FD89BC00AB2A}"/>
            </a:ext>
          </a:extLst>
        </cdr:cNvPr>
        <cdr:cNvSpPr txBox="1"/>
      </cdr:nvSpPr>
      <cdr:spPr>
        <a:xfrm xmlns:a="http://schemas.openxmlformats.org/drawingml/2006/main">
          <a:off x="4305300" y="4064000"/>
          <a:ext cx="508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1.8</a:t>
          </a:r>
        </a:p>
      </cdr:txBody>
    </cdr:sp>
  </cdr:relSizeAnchor>
  <cdr:relSizeAnchor xmlns:cdr="http://schemas.openxmlformats.org/drawingml/2006/chartDrawing">
    <cdr:from>
      <cdr:x>0.4632</cdr:x>
      <cdr:y>0.76375</cdr:y>
    </cdr:from>
    <cdr:to>
      <cdr:x>0.51786</cdr:x>
      <cdr:y>0.82652</cdr:y>
    </cdr:to>
    <cdr:sp macro="" textlink="">
      <cdr:nvSpPr>
        <cdr:cNvPr id="25" name="TextBox 24">
          <a:extLst xmlns:a="http://schemas.openxmlformats.org/drawingml/2006/main">
            <a:ext uri="{FF2B5EF4-FFF2-40B4-BE49-F238E27FC236}">
              <a16:creationId xmlns:a16="http://schemas.microsoft.com/office/drawing/2014/main" id="{76953D20-8764-491F-8805-CAE5062A9CB6}"/>
            </a:ext>
          </a:extLst>
        </cdr:cNvPr>
        <cdr:cNvSpPr txBox="1"/>
      </cdr:nvSpPr>
      <cdr:spPr>
        <a:xfrm xmlns:a="http://schemas.openxmlformats.org/drawingml/2006/main">
          <a:off x="4305300" y="4635500"/>
          <a:ext cx="508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2.2</a:t>
          </a:r>
        </a:p>
      </cdr:txBody>
    </cdr:sp>
  </cdr:relSizeAnchor>
  <cdr:relSizeAnchor xmlns:cdr="http://schemas.openxmlformats.org/drawingml/2006/chartDrawing">
    <cdr:from>
      <cdr:x>0.4632</cdr:x>
      <cdr:y>0.86</cdr:y>
    </cdr:from>
    <cdr:to>
      <cdr:x>0.51786</cdr:x>
      <cdr:y>0.92277</cdr:y>
    </cdr:to>
    <cdr:sp macro="" textlink="">
      <cdr:nvSpPr>
        <cdr:cNvPr id="26" name="TextBox 25">
          <a:extLst xmlns:a="http://schemas.openxmlformats.org/drawingml/2006/main">
            <a:ext uri="{FF2B5EF4-FFF2-40B4-BE49-F238E27FC236}">
              <a16:creationId xmlns:a16="http://schemas.microsoft.com/office/drawing/2014/main" id="{546A512B-6D10-4ABB-84E7-5A18B588080A}"/>
            </a:ext>
          </a:extLst>
        </cdr:cNvPr>
        <cdr:cNvSpPr txBox="1"/>
      </cdr:nvSpPr>
      <cdr:spPr>
        <a:xfrm xmlns:a="http://schemas.openxmlformats.org/drawingml/2006/main">
          <a:off x="4305300" y="5219700"/>
          <a:ext cx="508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2.6</a:t>
          </a:r>
        </a:p>
      </cdr:txBody>
    </cdr:sp>
  </cdr:relSizeAnchor>
  <cdr:relSizeAnchor xmlns:cdr="http://schemas.openxmlformats.org/drawingml/2006/chartDrawing">
    <cdr:from>
      <cdr:x>0.57935</cdr:x>
      <cdr:y>0.50637</cdr:y>
    </cdr:from>
    <cdr:to>
      <cdr:x>0.634</cdr:x>
      <cdr:y>0.56915</cdr:y>
    </cdr:to>
    <cdr:sp macro="" textlink="">
      <cdr:nvSpPr>
        <cdr:cNvPr id="27" name="TextBox 26">
          <a:extLst xmlns:a="http://schemas.openxmlformats.org/drawingml/2006/main">
            <a:ext uri="{FF2B5EF4-FFF2-40B4-BE49-F238E27FC236}">
              <a16:creationId xmlns:a16="http://schemas.microsoft.com/office/drawing/2014/main" id="{EBBDC6C9-4339-4020-B857-009480BC433D}"/>
            </a:ext>
          </a:extLst>
        </cdr:cNvPr>
        <cdr:cNvSpPr txBox="1"/>
      </cdr:nvSpPr>
      <cdr:spPr>
        <a:xfrm xmlns:a="http://schemas.openxmlformats.org/drawingml/2006/main">
          <a:off x="5384800" y="3073400"/>
          <a:ext cx="508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1.4</a:t>
          </a:r>
        </a:p>
      </cdr:txBody>
    </cdr:sp>
  </cdr:relSizeAnchor>
  <cdr:relSizeAnchor xmlns:cdr="http://schemas.openxmlformats.org/drawingml/2006/chartDrawing">
    <cdr:from>
      <cdr:x>0.67499</cdr:x>
      <cdr:y>0.50637</cdr:y>
    </cdr:from>
    <cdr:to>
      <cdr:x>0.72965</cdr:x>
      <cdr:y>0.56915</cdr:y>
    </cdr:to>
    <cdr:sp macro="" textlink="">
      <cdr:nvSpPr>
        <cdr:cNvPr id="28" name="TextBox 27">
          <a:extLst xmlns:a="http://schemas.openxmlformats.org/drawingml/2006/main">
            <a:ext uri="{FF2B5EF4-FFF2-40B4-BE49-F238E27FC236}">
              <a16:creationId xmlns:a16="http://schemas.microsoft.com/office/drawing/2014/main" id="{5201E8BC-A80B-4683-AECA-4D08C435B877}"/>
            </a:ext>
          </a:extLst>
        </cdr:cNvPr>
        <cdr:cNvSpPr txBox="1"/>
      </cdr:nvSpPr>
      <cdr:spPr>
        <a:xfrm xmlns:a="http://schemas.openxmlformats.org/drawingml/2006/main">
          <a:off x="6273800" y="3073400"/>
          <a:ext cx="508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1.8</a:t>
          </a:r>
        </a:p>
      </cdr:txBody>
    </cdr:sp>
  </cdr:relSizeAnchor>
  <cdr:relSizeAnchor xmlns:cdr="http://schemas.openxmlformats.org/drawingml/2006/chartDrawing">
    <cdr:from>
      <cdr:x>0.77064</cdr:x>
      <cdr:y>0.50637</cdr:y>
    </cdr:from>
    <cdr:to>
      <cdr:x>0.82529</cdr:x>
      <cdr:y>0.56915</cdr:y>
    </cdr:to>
    <cdr:sp macro="" textlink="">
      <cdr:nvSpPr>
        <cdr:cNvPr id="29" name="TextBox 28">
          <a:extLst xmlns:a="http://schemas.openxmlformats.org/drawingml/2006/main">
            <a:ext uri="{FF2B5EF4-FFF2-40B4-BE49-F238E27FC236}">
              <a16:creationId xmlns:a16="http://schemas.microsoft.com/office/drawing/2014/main" id="{56D69CAC-056E-413D-878E-AD375A4118B9}"/>
            </a:ext>
          </a:extLst>
        </cdr:cNvPr>
        <cdr:cNvSpPr txBox="1"/>
      </cdr:nvSpPr>
      <cdr:spPr>
        <a:xfrm xmlns:a="http://schemas.openxmlformats.org/drawingml/2006/main">
          <a:off x="7162800" y="3073400"/>
          <a:ext cx="508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2.2</a:t>
          </a:r>
        </a:p>
      </cdr:txBody>
    </cdr:sp>
  </cdr:relSizeAnchor>
  <cdr:relSizeAnchor xmlns:cdr="http://schemas.openxmlformats.org/drawingml/2006/chartDrawing">
    <cdr:from>
      <cdr:x>0.86629</cdr:x>
      <cdr:y>0.50637</cdr:y>
    </cdr:from>
    <cdr:to>
      <cdr:x>0.92094</cdr:x>
      <cdr:y>0.56915</cdr:y>
    </cdr:to>
    <cdr:sp macro="" textlink="">
      <cdr:nvSpPr>
        <cdr:cNvPr id="30" name="TextBox 29">
          <a:extLst xmlns:a="http://schemas.openxmlformats.org/drawingml/2006/main">
            <a:ext uri="{FF2B5EF4-FFF2-40B4-BE49-F238E27FC236}">
              <a16:creationId xmlns:a16="http://schemas.microsoft.com/office/drawing/2014/main" id="{49BC5552-2BAD-4456-B55F-79D3F9C60382}"/>
            </a:ext>
          </a:extLst>
        </cdr:cNvPr>
        <cdr:cNvSpPr txBox="1"/>
      </cdr:nvSpPr>
      <cdr:spPr>
        <a:xfrm xmlns:a="http://schemas.openxmlformats.org/drawingml/2006/main">
          <a:off x="8051800" y="3073400"/>
          <a:ext cx="508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2.6</a:t>
          </a:r>
        </a:p>
      </cdr:txBody>
    </cdr:sp>
  </cdr:relSizeAnchor>
  <cdr:relSizeAnchor xmlns:cdr="http://schemas.openxmlformats.org/drawingml/2006/chartDrawing">
    <cdr:from>
      <cdr:x>0.45774</cdr:x>
      <cdr:y>0.38501</cdr:y>
    </cdr:from>
    <cdr:to>
      <cdr:x>0.51239</cdr:x>
      <cdr:y>0.44779</cdr:y>
    </cdr:to>
    <cdr:sp macro="" textlink="">
      <cdr:nvSpPr>
        <cdr:cNvPr id="31" name="TextBox 30">
          <a:extLst xmlns:a="http://schemas.openxmlformats.org/drawingml/2006/main">
            <a:ext uri="{FF2B5EF4-FFF2-40B4-BE49-F238E27FC236}">
              <a16:creationId xmlns:a16="http://schemas.microsoft.com/office/drawing/2014/main" id="{3F7BC976-AB33-4520-B198-73E32A1CAAD4}"/>
            </a:ext>
          </a:extLst>
        </cdr:cNvPr>
        <cdr:cNvSpPr txBox="1"/>
      </cdr:nvSpPr>
      <cdr:spPr>
        <a:xfrm xmlns:a="http://schemas.openxmlformats.org/drawingml/2006/main">
          <a:off x="4254500" y="2336800"/>
          <a:ext cx="508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38.2</a:t>
          </a:r>
        </a:p>
      </cdr:txBody>
    </cdr:sp>
  </cdr:relSizeAnchor>
  <cdr:relSizeAnchor xmlns:cdr="http://schemas.openxmlformats.org/drawingml/2006/chartDrawing">
    <cdr:from>
      <cdr:x>0.45774</cdr:x>
      <cdr:y>0.28876</cdr:y>
    </cdr:from>
    <cdr:to>
      <cdr:x>0.51239</cdr:x>
      <cdr:y>0.35153</cdr:y>
    </cdr:to>
    <cdr:sp macro="" textlink="">
      <cdr:nvSpPr>
        <cdr:cNvPr id="32" name="TextBox 31">
          <a:extLst xmlns:a="http://schemas.openxmlformats.org/drawingml/2006/main">
            <a:ext uri="{FF2B5EF4-FFF2-40B4-BE49-F238E27FC236}">
              <a16:creationId xmlns:a16="http://schemas.microsoft.com/office/drawing/2014/main" id="{E52AF418-CA4A-4E0B-9CC4-76AFE05C9710}"/>
            </a:ext>
          </a:extLst>
        </cdr:cNvPr>
        <cdr:cNvSpPr txBox="1"/>
      </cdr:nvSpPr>
      <cdr:spPr>
        <a:xfrm xmlns:a="http://schemas.openxmlformats.org/drawingml/2006/main">
          <a:off x="4254500" y="1752600"/>
          <a:ext cx="508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66.1</a:t>
          </a:r>
        </a:p>
      </cdr:txBody>
    </cdr:sp>
  </cdr:relSizeAnchor>
  <cdr:relSizeAnchor xmlns:cdr="http://schemas.openxmlformats.org/drawingml/2006/chartDrawing">
    <cdr:from>
      <cdr:x>0.4673</cdr:x>
      <cdr:y>0.1946</cdr:y>
    </cdr:from>
    <cdr:to>
      <cdr:x>0.52196</cdr:x>
      <cdr:y>0.25737</cdr:y>
    </cdr:to>
    <cdr:sp macro="" textlink="">
      <cdr:nvSpPr>
        <cdr:cNvPr id="33" name="TextBox 32">
          <a:extLst xmlns:a="http://schemas.openxmlformats.org/drawingml/2006/main">
            <a:ext uri="{FF2B5EF4-FFF2-40B4-BE49-F238E27FC236}">
              <a16:creationId xmlns:a16="http://schemas.microsoft.com/office/drawing/2014/main" id="{542C73F6-4D34-415D-872D-7FE294C62A44}"/>
            </a:ext>
          </a:extLst>
        </cdr:cNvPr>
        <cdr:cNvSpPr txBox="1"/>
      </cdr:nvSpPr>
      <cdr:spPr>
        <a:xfrm xmlns:a="http://schemas.openxmlformats.org/drawingml/2006/main">
          <a:off x="4343400" y="1181100"/>
          <a:ext cx="508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94</a:t>
          </a:r>
        </a:p>
      </cdr:txBody>
    </cdr:sp>
  </cdr:relSizeAnchor>
  <cdr:relSizeAnchor xmlns:cdr="http://schemas.openxmlformats.org/drawingml/2006/chartDrawing">
    <cdr:from>
      <cdr:x>0.45227</cdr:x>
      <cdr:y>0.09458</cdr:y>
    </cdr:from>
    <cdr:to>
      <cdr:x>0.50693</cdr:x>
      <cdr:y>0.15735</cdr:y>
    </cdr:to>
    <cdr:sp macro="" textlink="">
      <cdr:nvSpPr>
        <cdr:cNvPr id="34" name="TextBox 33">
          <a:extLst xmlns:a="http://schemas.openxmlformats.org/drawingml/2006/main">
            <a:ext uri="{FF2B5EF4-FFF2-40B4-BE49-F238E27FC236}">
              <a16:creationId xmlns:a16="http://schemas.microsoft.com/office/drawing/2014/main" id="{47804BCF-3C95-4E67-BC7A-87196EB2B98D}"/>
            </a:ext>
          </a:extLst>
        </cdr:cNvPr>
        <cdr:cNvSpPr txBox="1"/>
      </cdr:nvSpPr>
      <cdr:spPr>
        <a:xfrm xmlns:a="http://schemas.openxmlformats.org/drawingml/2006/main">
          <a:off x="4203700" y="574040"/>
          <a:ext cx="508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050"/>
            <a:t>121.9</a:t>
          </a:r>
        </a:p>
      </cdr:txBody>
    </cdr:sp>
  </cdr:relSizeAnchor>
  <cdr:relSizeAnchor xmlns:cdr="http://schemas.openxmlformats.org/drawingml/2006/chartDrawing">
    <cdr:from>
      <cdr:x>0.0816</cdr:x>
      <cdr:y>0.93577</cdr:y>
    </cdr:from>
    <cdr:to>
      <cdr:x>0.12259</cdr:x>
      <cdr:y>0.99854</cdr:y>
    </cdr:to>
    <cdr:sp macro="" textlink="">
      <cdr:nvSpPr>
        <cdr:cNvPr id="35" name="TextBox 34">
          <a:extLst xmlns:a="http://schemas.openxmlformats.org/drawingml/2006/main">
            <a:ext uri="{FF2B5EF4-FFF2-40B4-BE49-F238E27FC236}">
              <a16:creationId xmlns:a16="http://schemas.microsoft.com/office/drawing/2014/main" id="{6E5DD9E3-A901-46B4-B22E-123A7E71FBB9}"/>
            </a:ext>
          </a:extLst>
        </cdr:cNvPr>
        <cdr:cNvSpPr txBox="1"/>
      </cdr:nvSpPr>
      <cdr:spPr>
        <a:xfrm xmlns:a="http://schemas.openxmlformats.org/drawingml/2006/main">
          <a:off x="758455" y="5679559"/>
          <a:ext cx="381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/>
            <a:t>h</a:t>
          </a:r>
          <a:r>
            <a:rPr lang="en-GB" sz="1300" baseline="-25000"/>
            <a:t>m</a:t>
          </a:r>
        </a:p>
      </cdr:txBody>
    </cdr:sp>
  </cdr:relSizeAnchor>
  <cdr:relSizeAnchor xmlns:cdr="http://schemas.openxmlformats.org/drawingml/2006/chartDrawing">
    <cdr:from>
      <cdr:x>0.19762</cdr:x>
      <cdr:y>0.93723</cdr:y>
    </cdr:from>
    <cdr:to>
      <cdr:x>0.23861</cdr:x>
      <cdr:y>1</cdr:y>
    </cdr:to>
    <cdr:sp macro="" textlink="">
      <cdr:nvSpPr>
        <cdr:cNvPr id="36" name="TextBox 35">
          <a:extLst xmlns:a="http://schemas.openxmlformats.org/drawingml/2006/main">
            <a:ext uri="{FF2B5EF4-FFF2-40B4-BE49-F238E27FC236}">
              <a16:creationId xmlns:a16="http://schemas.microsoft.com/office/drawing/2014/main" id="{82830E6F-4DF3-4F55-A6F2-679662DFEEAC}"/>
            </a:ext>
          </a:extLst>
        </cdr:cNvPr>
        <cdr:cNvSpPr txBox="1"/>
      </cdr:nvSpPr>
      <cdr:spPr>
        <a:xfrm xmlns:a="http://schemas.openxmlformats.org/drawingml/2006/main">
          <a:off x="1836775" y="5688419"/>
          <a:ext cx="381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/>
            <a:t>h</a:t>
          </a:r>
          <a:r>
            <a:rPr lang="en-GB" sz="1300" baseline="-25000"/>
            <a:t>T</a:t>
          </a:r>
        </a:p>
      </cdr:txBody>
    </cdr:sp>
  </cdr:relSizeAnchor>
  <cdr:relSizeAnchor xmlns:cdr="http://schemas.openxmlformats.org/drawingml/2006/chartDrawing">
    <cdr:from>
      <cdr:x>0.94534</cdr:x>
      <cdr:y>0.08714</cdr:y>
    </cdr:from>
    <cdr:to>
      <cdr:x>1</cdr:x>
      <cdr:y>0.15829</cdr:y>
    </cdr:to>
    <cdr:sp macro="" textlink="">
      <cdr:nvSpPr>
        <cdr:cNvPr id="37" name="TextBox 36">
          <a:extLst xmlns:a="http://schemas.openxmlformats.org/drawingml/2006/main">
            <a:ext uri="{FF2B5EF4-FFF2-40B4-BE49-F238E27FC236}">
              <a16:creationId xmlns:a16="http://schemas.microsoft.com/office/drawing/2014/main" id="{EC7E993E-F166-46EB-965E-6679E54E2953}"/>
            </a:ext>
          </a:extLst>
        </cdr:cNvPr>
        <cdr:cNvSpPr txBox="1"/>
      </cdr:nvSpPr>
      <cdr:spPr>
        <a:xfrm xmlns:a="http://schemas.openxmlformats.org/drawingml/2006/main">
          <a:off x="8786628" y="528918"/>
          <a:ext cx="508000" cy="431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/>
            <a:t>Q</a:t>
          </a:r>
          <a:r>
            <a:rPr lang="en-GB" sz="1300" baseline="-25000"/>
            <a:t>m</a:t>
          </a:r>
        </a:p>
      </cdr:txBody>
    </cdr:sp>
  </cdr:relSizeAnchor>
  <cdr:relSizeAnchor xmlns:cdr="http://schemas.openxmlformats.org/drawingml/2006/chartDrawing">
    <cdr:from>
      <cdr:x>0.94534</cdr:x>
      <cdr:y>0.21971</cdr:y>
    </cdr:from>
    <cdr:to>
      <cdr:x>1</cdr:x>
      <cdr:y>0.29085</cdr:y>
    </cdr:to>
    <cdr:sp macro="" textlink="">
      <cdr:nvSpPr>
        <cdr:cNvPr id="38" name="TextBox 37">
          <a:extLst xmlns:a="http://schemas.openxmlformats.org/drawingml/2006/main">
            <a:ext uri="{FF2B5EF4-FFF2-40B4-BE49-F238E27FC236}">
              <a16:creationId xmlns:a16="http://schemas.microsoft.com/office/drawing/2014/main" id="{C892462D-EDF8-49DE-BE52-97CAFFCC10F5}"/>
            </a:ext>
          </a:extLst>
        </cdr:cNvPr>
        <cdr:cNvSpPr txBox="1"/>
      </cdr:nvSpPr>
      <cdr:spPr>
        <a:xfrm xmlns:a="http://schemas.openxmlformats.org/drawingml/2006/main">
          <a:off x="9067800" y="1333500"/>
          <a:ext cx="508000" cy="431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/>
            <a:t>Q</a:t>
          </a:r>
          <a:r>
            <a:rPr lang="en-GB" sz="1300" baseline="-25000"/>
            <a:t>T</a:t>
          </a:r>
        </a:p>
      </cdr:txBody>
    </cdr:sp>
  </cdr:relSizeAnchor>
  <cdr:relSizeAnchor xmlns:cdr="http://schemas.openxmlformats.org/drawingml/2006/chartDrawing">
    <cdr:from>
      <cdr:x>0.00547</cdr:x>
      <cdr:y>0.44779</cdr:y>
    </cdr:from>
    <cdr:to>
      <cdr:x>0.07378</cdr:x>
      <cdr:y>0.51056</cdr:y>
    </cdr:to>
    <cdr:sp macro="" textlink="">
      <cdr:nvSpPr>
        <cdr:cNvPr id="39" name="TextBox 38">
          <a:extLst xmlns:a="http://schemas.openxmlformats.org/drawingml/2006/main">
            <a:ext uri="{FF2B5EF4-FFF2-40B4-BE49-F238E27FC236}">
              <a16:creationId xmlns:a16="http://schemas.microsoft.com/office/drawing/2014/main" id="{D11590CD-5F37-45B2-A1EC-AA952A67F99E}"/>
            </a:ext>
          </a:extLst>
        </cdr:cNvPr>
        <cdr:cNvSpPr txBox="1"/>
      </cdr:nvSpPr>
      <cdr:spPr>
        <a:xfrm xmlns:a="http://schemas.openxmlformats.org/drawingml/2006/main">
          <a:off x="50800" y="2717800"/>
          <a:ext cx="63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h[m]</a:t>
          </a:r>
        </a:p>
      </cdr:txBody>
    </cdr:sp>
  </cdr:relSizeAnchor>
  <cdr:relSizeAnchor xmlns:cdr="http://schemas.openxmlformats.org/drawingml/2006/chartDrawing">
    <cdr:from>
      <cdr:x>0.49736</cdr:x>
      <cdr:y>0.93723</cdr:y>
    </cdr:from>
    <cdr:to>
      <cdr:x>0.56568</cdr:x>
      <cdr:y>1</cdr:y>
    </cdr:to>
    <cdr:sp macro="" textlink="">
      <cdr:nvSpPr>
        <cdr:cNvPr id="40" name="TextBox 39">
          <a:extLst xmlns:a="http://schemas.openxmlformats.org/drawingml/2006/main">
            <a:ext uri="{FF2B5EF4-FFF2-40B4-BE49-F238E27FC236}">
              <a16:creationId xmlns:a16="http://schemas.microsoft.com/office/drawing/2014/main" id="{47DE8903-5F2A-421B-8EAC-BABD7BF7E0E2}"/>
            </a:ext>
          </a:extLst>
        </cdr:cNvPr>
        <cdr:cNvSpPr txBox="1"/>
      </cdr:nvSpPr>
      <cdr:spPr>
        <a:xfrm xmlns:a="http://schemas.openxmlformats.org/drawingml/2006/main">
          <a:off x="4622800" y="5765800"/>
          <a:ext cx="63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t[day]</a:t>
          </a:r>
        </a:p>
      </cdr:txBody>
    </cdr:sp>
  </cdr:relSizeAnchor>
  <cdr:relSizeAnchor xmlns:cdr="http://schemas.openxmlformats.org/drawingml/2006/chartDrawing">
    <cdr:from>
      <cdr:x>0.93168</cdr:x>
      <cdr:y>0.44779</cdr:y>
    </cdr:from>
    <cdr:to>
      <cdr:x>1</cdr:x>
      <cdr:y>0.51056</cdr:y>
    </cdr:to>
    <cdr:sp macro="" textlink="">
      <cdr:nvSpPr>
        <cdr:cNvPr id="41" name="TextBox 40">
          <a:extLst xmlns:a="http://schemas.openxmlformats.org/drawingml/2006/main">
            <a:ext uri="{FF2B5EF4-FFF2-40B4-BE49-F238E27FC236}">
              <a16:creationId xmlns:a16="http://schemas.microsoft.com/office/drawing/2014/main" id="{2602BACB-9E5D-4392-B3DC-54111327F20E}"/>
            </a:ext>
          </a:extLst>
        </cdr:cNvPr>
        <cdr:cNvSpPr txBox="1"/>
      </cdr:nvSpPr>
      <cdr:spPr>
        <a:xfrm xmlns:a="http://schemas.openxmlformats.org/drawingml/2006/main">
          <a:off x="9194800" y="2717800"/>
          <a:ext cx="63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t[day]</a:t>
          </a:r>
        </a:p>
      </cdr:txBody>
    </cdr:sp>
  </cdr:relSizeAnchor>
  <cdr:relSizeAnchor xmlns:cdr="http://schemas.openxmlformats.org/drawingml/2006/chartDrawing">
    <cdr:from>
      <cdr:x>0.49736</cdr:x>
      <cdr:y>0.00837</cdr:y>
    </cdr:from>
    <cdr:to>
      <cdr:x>0.57935</cdr:x>
      <cdr:y>0.11299</cdr:y>
    </cdr:to>
    <cdr:sp macro="" textlink="">
      <cdr:nvSpPr>
        <cdr:cNvPr id="42" name="TextBox 41">
          <a:extLst xmlns:a="http://schemas.openxmlformats.org/drawingml/2006/main">
            <a:ext uri="{FF2B5EF4-FFF2-40B4-BE49-F238E27FC236}">
              <a16:creationId xmlns:a16="http://schemas.microsoft.com/office/drawing/2014/main" id="{C8028001-D28C-409F-9539-12A6552FE16C}"/>
            </a:ext>
          </a:extLst>
        </cdr:cNvPr>
        <cdr:cNvSpPr txBox="1"/>
      </cdr:nvSpPr>
      <cdr:spPr>
        <a:xfrm xmlns:a="http://schemas.openxmlformats.org/drawingml/2006/main">
          <a:off x="4622800" y="50800"/>
          <a:ext cx="762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Q[m</a:t>
          </a:r>
          <a:r>
            <a:rPr lang="en-GB" sz="1300" b="1" baseline="30000"/>
            <a:t>3</a:t>
          </a:r>
          <a:r>
            <a:rPr lang="en-GB" sz="1300" b="1"/>
            <a:t>/s]</a:t>
          </a:r>
        </a:p>
      </cdr:txBody>
    </cdr:sp>
  </cdr:relSizeAnchor>
  <cdr:relSizeAnchor xmlns:cdr="http://schemas.openxmlformats.org/drawingml/2006/chartDrawing">
    <cdr:from>
      <cdr:x>0.58208</cdr:x>
      <cdr:y>0.56915</cdr:y>
    </cdr:from>
    <cdr:to>
      <cdr:x>0.6504</cdr:x>
      <cdr:y>0.63192</cdr:y>
    </cdr:to>
    <cdr:sp macro="" textlink="">
      <cdr:nvSpPr>
        <cdr:cNvPr id="43" name="TextBox 42">
          <a:extLst xmlns:a="http://schemas.openxmlformats.org/drawingml/2006/main">
            <a:ext uri="{FF2B5EF4-FFF2-40B4-BE49-F238E27FC236}">
              <a16:creationId xmlns:a16="http://schemas.microsoft.com/office/drawing/2014/main" id="{D21D87D4-AA68-40EA-B9F9-E91C0C7B02C0}"/>
            </a:ext>
          </a:extLst>
        </cdr:cNvPr>
        <cdr:cNvSpPr txBox="1"/>
      </cdr:nvSpPr>
      <cdr:spPr>
        <a:xfrm xmlns:a="http://schemas.openxmlformats.org/drawingml/2006/main">
          <a:off x="5410200" y="3454400"/>
          <a:ext cx="63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&lt;</a:t>
          </a:r>
        </a:p>
      </cdr:txBody>
    </cdr:sp>
  </cdr:relSizeAnchor>
  <cdr:relSizeAnchor xmlns:cdr="http://schemas.openxmlformats.org/drawingml/2006/chartDrawing">
    <cdr:from>
      <cdr:x>0.66133</cdr:x>
      <cdr:y>0.56915</cdr:y>
    </cdr:from>
    <cdr:to>
      <cdr:x>0.72965</cdr:x>
      <cdr:y>0.63192</cdr:y>
    </cdr:to>
    <cdr:sp macro="" textlink="">
      <cdr:nvSpPr>
        <cdr:cNvPr id="44" name="TextBox 43">
          <a:extLst xmlns:a="http://schemas.openxmlformats.org/drawingml/2006/main">
            <a:ext uri="{FF2B5EF4-FFF2-40B4-BE49-F238E27FC236}">
              <a16:creationId xmlns:a16="http://schemas.microsoft.com/office/drawing/2014/main" id="{8642DB2F-0BB5-41E7-8EF0-A50ED1F950C9}"/>
            </a:ext>
          </a:extLst>
        </cdr:cNvPr>
        <cdr:cNvSpPr txBox="1"/>
      </cdr:nvSpPr>
      <cdr:spPr>
        <a:xfrm xmlns:a="http://schemas.openxmlformats.org/drawingml/2006/main">
          <a:off x="6146800" y="3454400"/>
          <a:ext cx="63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&gt;</a:t>
          </a:r>
        </a:p>
      </cdr:txBody>
    </cdr:sp>
  </cdr:relSizeAnchor>
  <cdr:relSizeAnchor xmlns:cdr="http://schemas.openxmlformats.org/drawingml/2006/chartDrawing">
    <cdr:from>
      <cdr:x>0.61897</cdr:x>
      <cdr:y>0.59007</cdr:y>
    </cdr:from>
    <cdr:to>
      <cdr:x>0.68729</cdr:x>
      <cdr:y>0.65285</cdr:y>
    </cdr:to>
    <cdr:sp macro="" textlink="">
      <cdr:nvSpPr>
        <cdr:cNvPr id="45" name="TextBox 44">
          <a:extLst xmlns:a="http://schemas.openxmlformats.org/drawingml/2006/main">
            <a:ext uri="{FF2B5EF4-FFF2-40B4-BE49-F238E27FC236}">
              <a16:creationId xmlns:a16="http://schemas.microsoft.com/office/drawing/2014/main" id="{3606D1BD-EA72-48FB-BB0C-A891C50237CB}"/>
            </a:ext>
          </a:extLst>
        </cdr:cNvPr>
        <cdr:cNvSpPr txBox="1"/>
      </cdr:nvSpPr>
      <cdr:spPr>
        <a:xfrm xmlns:a="http://schemas.openxmlformats.org/drawingml/2006/main">
          <a:off x="5753100" y="3581400"/>
          <a:ext cx="63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/>
            <a:t>T</a:t>
          </a:r>
          <a:r>
            <a:rPr lang="en-GB" sz="1300" baseline="-25000"/>
            <a:t>f</a:t>
          </a:r>
        </a:p>
      </cdr:txBody>
    </cdr:sp>
  </cdr:relSizeAnchor>
  <cdr:relSizeAnchor xmlns:cdr="http://schemas.openxmlformats.org/drawingml/2006/chartDrawing">
    <cdr:from>
      <cdr:x>0.75697</cdr:x>
      <cdr:y>0.63611</cdr:y>
    </cdr:from>
    <cdr:to>
      <cdr:x>0.96193</cdr:x>
      <cdr:y>0.69888</cdr:y>
    </cdr:to>
    <cdr:sp macro="" textlink="">
      <cdr:nvSpPr>
        <cdr:cNvPr id="46" name="TextBox 45">
          <a:extLst xmlns:a="http://schemas.openxmlformats.org/drawingml/2006/main">
            <a:ext uri="{FF2B5EF4-FFF2-40B4-BE49-F238E27FC236}">
              <a16:creationId xmlns:a16="http://schemas.microsoft.com/office/drawing/2014/main" id="{AD0A817C-40A2-49D6-BF58-14D046B5A5A9}"/>
            </a:ext>
          </a:extLst>
        </cdr:cNvPr>
        <cdr:cNvSpPr txBox="1"/>
      </cdr:nvSpPr>
      <cdr:spPr>
        <a:xfrm xmlns:a="http://schemas.openxmlformats.org/drawingml/2006/main">
          <a:off x="7035800" y="3860800"/>
          <a:ext cx="190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500"/>
            <a:t>FEV = 1.05Mm</a:t>
          </a:r>
          <a:r>
            <a:rPr lang="en-GB" sz="1500" baseline="30000"/>
            <a:t>3</a:t>
          </a:r>
        </a:p>
      </cdr:txBody>
    </cdr:sp>
  </cdr:relSizeAnchor>
  <cdr:relSizeAnchor xmlns:cdr="http://schemas.openxmlformats.org/drawingml/2006/chartDrawing">
    <cdr:from>
      <cdr:x>0.75697</cdr:x>
      <cdr:y>0.67796</cdr:y>
    </cdr:from>
    <cdr:to>
      <cdr:x>0.96193</cdr:x>
      <cdr:y>0.74073</cdr:y>
    </cdr:to>
    <cdr:sp macro="" textlink="">
      <cdr:nvSpPr>
        <cdr:cNvPr id="47" name="TextBox 46">
          <a:extLst xmlns:a="http://schemas.openxmlformats.org/drawingml/2006/main">
            <a:ext uri="{FF2B5EF4-FFF2-40B4-BE49-F238E27FC236}">
              <a16:creationId xmlns:a16="http://schemas.microsoft.com/office/drawing/2014/main" id="{87B73AA7-A6D4-49BD-A924-31D3FBB15AE2}"/>
            </a:ext>
          </a:extLst>
        </cdr:cNvPr>
        <cdr:cNvSpPr txBox="1"/>
      </cdr:nvSpPr>
      <cdr:spPr>
        <a:xfrm xmlns:a="http://schemas.openxmlformats.org/drawingml/2006/main">
          <a:off x="7035800" y="4114800"/>
          <a:ext cx="190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500"/>
            <a:t>T</a:t>
          </a:r>
          <a:r>
            <a:rPr lang="en-GB" sz="1500" baseline="-25000"/>
            <a:t>f</a:t>
          </a:r>
          <a:r>
            <a:rPr lang="en-GB" sz="1500"/>
            <a:t> = 7.5hrs</a:t>
          </a:r>
        </a:p>
      </cdr:txBody>
    </cdr:sp>
  </cdr:relSizeAnchor>
  <cdr:relSizeAnchor xmlns:cdr="http://schemas.openxmlformats.org/drawingml/2006/chartDrawing">
    <cdr:from>
      <cdr:x>0.75697</cdr:x>
      <cdr:y>0.71981</cdr:y>
    </cdr:from>
    <cdr:to>
      <cdr:x>0.96193</cdr:x>
      <cdr:y>0.78258</cdr:y>
    </cdr:to>
    <cdr:sp macro="" textlink="">
      <cdr:nvSpPr>
        <cdr:cNvPr id="48" name="TextBox 47">
          <a:extLst xmlns:a="http://schemas.openxmlformats.org/drawingml/2006/main">
            <a:ext uri="{FF2B5EF4-FFF2-40B4-BE49-F238E27FC236}">
              <a16:creationId xmlns:a16="http://schemas.microsoft.com/office/drawing/2014/main" id="{3391D49E-F91E-470F-BAF9-AA88711C1480}"/>
            </a:ext>
          </a:extLst>
        </cdr:cNvPr>
        <cdr:cNvSpPr txBox="1"/>
      </cdr:nvSpPr>
      <cdr:spPr>
        <a:xfrm xmlns:a="http://schemas.openxmlformats.org/drawingml/2006/main">
          <a:off x="7035800" y="4368800"/>
          <a:ext cx="190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500"/>
            <a:t>h</a:t>
          </a:r>
          <a:r>
            <a:rPr lang="en-GB" sz="1500" baseline="-25000"/>
            <a:t>T</a:t>
          </a:r>
          <a:r>
            <a:rPr lang="en-GB" sz="1500"/>
            <a:t> = 2.8m</a:t>
          </a:r>
        </a:p>
      </cdr:txBody>
    </cdr:sp>
  </cdr:relSizeAnchor>
  <cdr:relSizeAnchor xmlns:cdr="http://schemas.openxmlformats.org/drawingml/2006/chartDrawing">
    <cdr:from>
      <cdr:x>0.75697</cdr:x>
      <cdr:y>0.76165</cdr:y>
    </cdr:from>
    <cdr:to>
      <cdr:x>0.96193</cdr:x>
      <cdr:y>0.82443</cdr:y>
    </cdr:to>
    <cdr:sp macro="" textlink="">
      <cdr:nvSpPr>
        <cdr:cNvPr id="49" name="TextBox 48">
          <a:extLst xmlns:a="http://schemas.openxmlformats.org/drawingml/2006/main">
            <a:ext uri="{FF2B5EF4-FFF2-40B4-BE49-F238E27FC236}">
              <a16:creationId xmlns:a16="http://schemas.microsoft.com/office/drawing/2014/main" id="{FFA0E113-AA87-4D94-ABFC-F69ECF04DDA8}"/>
            </a:ext>
          </a:extLst>
        </cdr:cNvPr>
        <cdr:cNvSpPr txBox="1"/>
      </cdr:nvSpPr>
      <cdr:spPr>
        <a:xfrm xmlns:a="http://schemas.openxmlformats.org/drawingml/2006/main">
          <a:off x="7035800" y="4622800"/>
          <a:ext cx="190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500"/>
            <a:t>h</a:t>
          </a:r>
          <a:r>
            <a:rPr lang="en-GB" sz="1500" baseline="-25000"/>
            <a:t>m</a:t>
          </a:r>
          <a:r>
            <a:rPr lang="en-GB" sz="1500"/>
            <a:t> = 3.6m</a:t>
          </a:r>
        </a:p>
      </cdr:txBody>
    </cdr:sp>
  </cdr:relSizeAnchor>
  <cdr:relSizeAnchor xmlns:cdr="http://schemas.openxmlformats.org/drawingml/2006/chartDrawing">
    <cdr:from>
      <cdr:x>0.75676</cdr:x>
      <cdr:y>0.80498</cdr:y>
    </cdr:from>
    <cdr:to>
      <cdr:x>0.9083</cdr:x>
      <cdr:y>0.86776</cdr:y>
    </cdr:to>
    <cdr:sp macro="" textlink="">
      <cdr:nvSpPr>
        <cdr:cNvPr id="50" name="TextBox 49">
          <a:extLst xmlns:a="http://schemas.openxmlformats.org/drawingml/2006/main">
            <a:ext uri="{FF2B5EF4-FFF2-40B4-BE49-F238E27FC236}">
              <a16:creationId xmlns:a16="http://schemas.microsoft.com/office/drawing/2014/main" id="{6D453EF6-5B26-43F3-AB66-062E4488EC23}"/>
            </a:ext>
          </a:extLst>
        </cdr:cNvPr>
        <cdr:cNvSpPr txBox="1"/>
      </cdr:nvSpPr>
      <cdr:spPr>
        <a:xfrm xmlns:a="http://schemas.openxmlformats.org/drawingml/2006/main">
          <a:off x="7028329" y="4885491"/>
          <a:ext cx="1407459" cy="3810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500"/>
            <a:t>Q</a:t>
          </a:r>
          <a:r>
            <a:rPr lang="en-GB" sz="1500" baseline="-25000"/>
            <a:t>T</a:t>
          </a:r>
          <a:r>
            <a:rPr lang="en-GB" sz="1500"/>
            <a:t> = 75.04m</a:t>
          </a:r>
          <a:r>
            <a:rPr lang="en-GB" sz="1500" baseline="30000"/>
            <a:t>3</a:t>
          </a:r>
          <a:r>
            <a:rPr lang="en-GB" sz="1500"/>
            <a:t>/s </a:t>
          </a:r>
        </a:p>
      </cdr:txBody>
    </cdr:sp>
  </cdr:relSizeAnchor>
  <cdr:relSizeAnchor xmlns:cdr="http://schemas.openxmlformats.org/drawingml/2006/chartDrawing">
    <cdr:from>
      <cdr:x>0.75697</cdr:x>
      <cdr:y>0.84535</cdr:y>
    </cdr:from>
    <cdr:to>
      <cdr:x>0.96193</cdr:x>
      <cdr:y>0.90813</cdr:y>
    </cdr:to>
    <cdr:sp macro="" textlink="">
      <cdr:nvSpPr>
        <cdr:cNvPr id="51" name="TextBox 50">
          <a:extLst xmlns:a="http://schemas.openxmlformats.org/drawingml/2006/main">
            <a:ext uri="{FF2B5EF4-FFF2-40B4-BE49-F238E27FC236}">
              <a16:creationId xmlns:a16="http://schemas.microsoft.com/office/drawing/2014/main" id="{31274E8D-E06D-4F72-ACF2-AF53171DC241}"/>
            </a:ext>
          </a:extLst>
        </cdr:cNvPr>
        <cdr:cNvSpPr txBox="1"/>
      </cdr:nvSpPr>
      <cdr:spPr>
        <a:xfrm xmlns:a="http://schemas.openxmlformats.org/drawingml/2006/main">
          <a:off x="7035800" y="5130800"/>
          <a:ext cx="190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500"/>
            <a:t>Q</a:t>
          </a:r>
          <a:r>
            <a:rPr lang="en-GB" sz="1500" baseline="-25000"/>
            <a:t>m</a:t>
          </a:r>
          <a:r>
            <a:rPr lang="en-GB" sz="1500"/>
            <a:t> = 112.74m</a:t>
          </a:r>
          <a:r>
            <a:rPr lang="en-GB" sz="1500" baseline="30000"/>
            <a:t>3</a:t>
          </a:r>
          <a:r>
            <a:rPr lang="en-GB" sz="1500"/>
            <a:t>/s</a:t>
          </a:r>
        </a:p>
      </cdr:txBody>
    </cdr:sp>
  </cdr:relSizeAnchor>
  <cdr:relSizeAnchor xmlns:cdr="http://schemas.openxmlformats.org/drawingml/2006/chartDrawing">
    <cdr:from>
      <cdr:x>0.59007</cdr:x>
      <cdr:y>0.25401</cdr:y>
    </cdr:from>
    <cdr:to>
      <cdr:x>0.67914</cdr:x>
      <cdr:y>0.30657</cdr:y>
    </cdr:to>
    <cdr:sp macro="" textlink="">
      <cdr:nvSpPr>
        <cdr:cNvPr id="57" name="Freeform: Shape 56">
          <a:extLst xmlns:a="http://schemas.openxmlformats.org/drawingml/2006/main">
            <a:ext uri="{FF2B5EF4-FFF2-40B4-BE49-F238E27FC236}">
              <a16:creationId xmlns:a16="http://schemas.microsoft.com/office/drawing/2014/main" id="{80223B9A-189D-4E36-B6FF-68E77B6CDF6F}"/>
            </a:ext>
          </a:extLst>
        </cdr:cNvPr>
        <cdr:cNvSpPr/>
      </cdr:nvSpPr>
      <cdr:spPr>
        <a:xfrm xmlns:a="http://schemas.openxmlformats.org/drawingml/2006/main">
          <a:off x="5484518" y="1541721"/>
          <a:ext cx="827851" cy="318977"/>
        </a:xfrm>
        <a:custGeom xmlns:a="http://schemas.openxmlformats.org/drawingml/2006/main">
          <a:avLst/>
          <a:gdLst>
            <a:gd name="connsiteX0" fmla="*/ 53162 w 735418"/>
            <a:gd name="connsiteY0" fmla="*/ 0 h 336698"/>
            <a:gd name="connsiteX1" fmla="*/ 0 w 735418"/>
            <a:gd name="connsiteY1" fmla="*/ 327837 h 336698"/>
            <a:gd name="connsiteX2" fmla="*/ 735418 w 735418"/>
            <a:gd name="connsiteY2" fmla="*/ 336698 h 336698"/>
            <a:gd name="connsiteX3" fmla="*/ 664535 w 735418"/>
            <a:gd name="connsiteY3" fmla="*/ 0 h 336698"/>
            <a:gd name="connsiteX4" fmla="*/ 53162 w 735418"/>
            <a:gd name="connsiteY4" fmla="*/ 0 h 3366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35418" h="336698">
              <a:moveTo>
                <a:pt x="53162" y="0"/>
              </a:moveTo>
              <a:lnTo>
                <a:pt x="0" y="327837"/>
              </a:lnTo>
              <a:lnTo>
                <a:pt x="735418" y="336698"/>
              </a:lnTo>
              <a:lnTo>
                <a:pt x="664535" y="0"/>
              </a:lnTo>
              <a:lnTo>
                <a:pt x="53162" y="0"/>
              </a:lnTo>
              <a:close/>
            </a:path>
          </a:pathLst>
        </a:custGeom>
        <a:solidFill xmlns:a="http://schemas.openxmlformats.org/drawingml/2006/main">
          <a:schemeClr val="bg1">
            <a:lumMod val="50000"/>
            <a:alpha val="32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0.50143</cdr:x>
      <cdr:y>0.02044</cdr:y>
    </cdr:from>
    <cdr:to>
      <cdr:x>0.98189</cdr:x>
      <cdr:y>0.50073</cdr:y>
    </cdr:to>
    <cdr:sp macro="" textlink="">
      <cdr:nvSpPr>
        <cdr:cNvPr id="58" name="Freeform: Shape 57">
          <a:extLst xmlns:a="http://schemas.openxmlformats.org/drawingml/2006/main">
            <a:ext uri="{FF2B5EF4-FFF2-40B4-BE49-F238E27FC236}">
              <a16:creationId xmlns:a16="http://schemas.microsoft.com/office/drawing/2014/main" id="{73A34674-3CEA-41A0-9969-FD81D7F659D0}"/>
            </a:ext>
          </a:extLst>
        </cdr:cNvPr>
        <cdr:cNvSpPr/>
      </cdr:nvSpPr>
      <cdr:spPr>
        <a:xfrm xmlns:a="http://schemas.openxmlformats.org/drawingml/2006/main">
          <a:off x="4660605" y="124047"/>
          <a:ext cx="4465674" cy="2915093"/>
        </a:xfrm>
        <a:custGeom xmlns:a="http://schemas.openxmlformats.org/drawingml/2006/main">
          <a:avLst/>
          <a:gdLst>
            <a:gd name="connsiteX0" fmla="*/ 0 w 4465674"/>
            <a:gd name="connsiteY0" fmla="*/ 2321441 h 2915093"/>
            <a:gd name="connsiteX1" fmla="*/ 106325 w 4465674"/>
            <a:gd name="connsiteY1" fmla="*/ 2401186 h 2915093"/>
            <a:gd name="connsiteX2" fmla="*/ 159488 w 4465674"/>
            <a:gd name="connsiteY2" fmla="*/ 2915093 h 2915093"/>
            <a:gd name="connsiteX3" fmla="*/ 203790 w 4465674"/>
            <a:gd name="connsiteY3" fmla="*/ 2401186 h 2915093"/>
            <a:gd name="connsiteX4" fmla="*/ 345558 w 4465674"/>
            <a:gd name="connsiteY4" fmla="*/ 2410046 h 2915093"/>
            <a:gd name="connsiteX5" fmla="*/ 487325 w 4465674"/>
            <a:gd name="connsiteY5" fmla="*/ 2472069 h 2915093"/>
            <a:gd name="connsiteX6" fmla="*/ 620232 w 4465674"/>
            <a:gd name="connsiteY6" fmla="*/ 2153093 h 2915093"/>
            <a:gd name="connsiteX7" fmla="*/ 611372 w 4465674"/>
            <a:gd name="connsiteY7" fmla="*/ 2108790 h 2915093"/>
            <a:gd name="connsiteX8" fmla="*/ 770860 w 4465674"/>
            <a:gd name="connsiteY8" fmla="*/ 2037906 h 2915093"/>
            <a:gd name="connsiteX9" fmla="*/ 886046 w 4465674"/>
            <a:gd name="connsiteY9" fmla="*/ 1337930 h 2915093"/>
            <a:gd name="connsiteX10" fmla="*/ 921488 w 4465674"/>
            <a:gd name="connsiteY10" fmla="*/ 1337930 h 2915093"/>
            <a:gd name="connsiteX11" fmla="*/ 1010093 w 4465674"/>
            <a:gd name="connsiteY11" fmla="*/ 1001232 h 2915093"/>
            <a:gd name="connsiteX12" fmla="*/ 1027814 w 4465674"/>
            <a:gd name="connsiteY12" fmla="*/ 274674 h 2915093"/>
            <a:gd name="connsiteX13" fmla="*/ 1063255 w 4465674"/>
            <a:gd name="connsiteY13" fmla="*/ 0 h 2915093"/>
            <a:gd name="connsiteX14" fmla="*/ 1151860 w 4465674"/>
            <a:gd name="connsiteY14" fmla="*/ 0 h 2915093"/>
            <a:gd name="connsiteX15" fmla="*/ 1169581 w 4465674"/>
            <a:gd name="connsiteY15" fmla="*/ 88604 h 2915093"/>
            <a:gd name="connsiteX16" fmla="*/ 1213883 w 4465674"/>
            <a:gd name="connsiteY16" fmla="*/ 26581 h 2915093"/>
            <a:gd name="connsiteX17" fmla="*/ 1240465 w 4465674"/>
            <a:gd name="connsiteY17" fmla="*/ 8860 h 2915093"/>
            <a:gd name="connsiteX18" fmla="*/ 1267046 w 4465674"/>
            <a:gd name="connsiteY18" fmla="*/ 44302 h 2915093"/>
            <a:gd name="connsiteX19" fmla="*/ 1275907 w 4465674"/>
            <a:gd name="connsiteY19" fmla="*/ 26581 h 2915093"/>
            <a:gd name="connsiteX20" fmla="*/ 1311348 w 4465674"/>
            <a:gd name="connsiteY20" fmla="*/ 26581 h 2915093"/>
            <a:gd name="connsiteX21" fmla="*/ 1426535 w 4465674"/>
            <a:gd name="connsiteY21" fmla="*/ 682255 h 2915093"/>
            <a:gd name="connsiteX22" fmla="*/ 1559442 w 4465674"/>
            <a:gd name="connsiteY22" fmla="*/ 1267046 h 2915093"/>
            <a:gd name="connsiteX23" fmla="*/ 1763232 w 4465674"/>
            <a:gd name="connsiteY23" fmla="*/ 1869558 h 2915093"/>
            <a:gd name="connsiteX24" fmla="*/ 1842976 w 4465674"/>
            <a:gd name="connsiteY24" fmla="*/ 1975883 h 2915093"/>
            <a:gd name="connsiteX25" fmla="*/ 2179674 w 4465674"/>
            <a:gd name="connsiteY25" fmla="*/ 2206255 h 2915093"/>
            <a:gd name="connsiteX26" fmla="*/ 2206255 w 4465674"/>
            <a:gd name="connsiteY26" fmla="*/ 2206255 h 2915093"/>
            <a:gd name="connsiteX27" fmla="*/ 2223976 w 4465674"/>
            <a:gd name="connsiteY27" fmla="*/ 2170813 h 2915093"/>
            <a:gd name="connsiteX28" fmla="*/ 2286000 w 4465674"/>
            <a:gd name="connsiteY28" fmla="*/ 2250558 h 2915093"/>
            <a:gd name="connsiteX29" fmla="*/ 2587255 w 4465674"/>
            <a:gd name="connsiteY29" fmla="*/ 2356883 h 2915093"/>
            <a:gd name="connsiteX30" fmla="*/ 2622697 w 4465674"/>
            <a:gd name="connsiteY30" fmla="*/ 2339162 h 2915093"/>
            <a:gd name="connsiteX31" fmla="*/ 2853069 w 4465674"/>
            <a:gd name="connsiteY31" fmla="*/ 2374604 h 2915093"/>
            <a:gd name="connsiteX32" fmla="*/ 3003697 w 4465674"/>
            <a:gd name="connsiteY32" fmla="*/ 2418906 h 2915093"/>
            <a:gd name="connsiteX33" fmla="*/ 3065721 w 4465674"/>
            <a:gd name="connsiteY33" fmla="*/ 2418906 h 2915093"/>
            <a:gd name="connsiteX34" fmla="*/ 3234069 w 4465674"/>
            <a:gd name="connsiteY34" fmla="*/ 2445488 h 2915093"/>
            <a:gd name="connsiteX35" fmla="*/ 3304953 w 4465674"/>
            <a:gd name="connsiteY35" fmla="*/ 2427767 h 2915093"/>
            <a:gd name="connsiteX36" fmla="*/ 3393558 w 4465674"/>
            <a:gd name="connsiteY36" fmla="*/ 2427767 h 2915093"/>
            <a:gd name="connsiteX37" fmla="*/ 3526465 w 4465674"/>
            <a:gd name="connsiteY37" fmla="*/ 2472069 h 2915093"/>
            <a:gd name="connsiteX38" fmla="*/ 3730255 w 4465674"/>
            <a:gd name="connsiteY38" fmla="*/ 2472069 h 2915093"/>
            <a:gd name="connsiteX39" fmla="*/ 3845442 w 4465674"/>
            <a:gd name="connsiteY39" fmla="*/ 2498651 h 2915093"/>
            <a:gd name="connsiteX40" fmla="*/ 3818860 w 4465674"/>
            <a:gd name="connsiteY40" fmla="*/ 2498651 h 2915093"/>
            <a:gd name="connsiteX41" fmla="*/ 3836581 w 4465674"/>
            <a:gd name="connsiteY41" fmla="*/ 2507511 h 2915093"/>
            <a:gd name="connsiteX42" fmla="*/ 4004930 w 4465674"/>
            <a:gd name="connsiteY42" fmla="*/ 2489790 h 2915093"/>
            <a:gd name="connsiteX43" fmla="*/ 4173279 w 4465674"/>
            <a:gd name="connsiteY43" fmla="*/ 2489790 h 2915093"/>
            <a:gd name="connsiteX44" fmla="*/ 4261883 w 4465674"/>
            <a:gd name="connsiteY44" fmla="*/ 2525232 h 2915093"/>
            <a:gd name="connsiteX45" fmla="*/ 4465674 w 4465674"/>
            <a:gd name="connsiteY45" fmla="*/ 2498651 h 2915093"/>
            <a:gd name="connsiteX46" fmla="*/ 4447953 w 4465674"/>
            <a:gd name="connsiteY46" fmla="*/ 2622697 h 2915093"/>
            <a:gd name="connsiteX47" fmla="*/ 4084674 w 4465674"/>
            <a:gd name="connsiteY47" fmla="*/ 2631558 h 2915093"/>
            <a:gd name="connsiteX48" fmla="*/ 3960628 w 4465674"/>
            <a:gd name="connsiteY48" fmla="*/ 2596116 h 2915093"/>
            <a:gd name="connsiteX49" fmla="*/ 3641651 w 4465674"/>
            <a:gd name="connsiteY49" fmla="*/ 2587255 h 2915093"/>
            <a:gd name="connsiteX50" fmla="*/ 3384697 w 4465674"/>
            <a:gd name="connsiteY50" fmla="*/ 2569534 h 2915093"/>
            <a:gd name="connsiteX51" fmla="*/ 3163186 w 4465674"/>
            <a:gd name="connsiteY51" fmla="*/ 2569534 h 2915093"/>
            <a:gd name="connsiteX52" fmla="*/ 3163186 w 4465674"/>
            <a:gd name="connsiteY52" fmla="*/ 2569534 h 2915093"/>
            <a:gd name="connsiteX53" fmla="*/ 3056860 w 4465674"/>
            <a:gd name="connsiteY53" fmla="*/ 2542953 h 2915093"/>
            <a:gd name="connsiteX54" fmla="*/ 2968255 w 4465674"/>
            <a:gd name="connsiteY54" fmla="*/ 2498651 h 2915093"/>
            <a:gd name="connsiteX55" fmla="*/ 2853069 w 4465674"/>
            <a:gd name="connsiteY55" fmla="*/ 2516372 h 2915093"/>
            <a:gd name="connsiteX56" fmla="*/ 2720162 w 4465674"/>
            <a:gd name="connsiteY56" fmla="*/ 2480930 h 2915093"/>
            <a:gd name="connsiteX57" fmla="*/ 2604976 w 4465674"/>
            <a:gd name="connsiteY57" fmla="*/ 2489790 h 2915093"/>
            <a:gd name="connsiteX58" fmla="*/ 2534093 w 4465674"/>
            <a:gd name="connsiteY58" fmla="*/ 2463209 h 2915093"/>
            <a:gd name="connsiteX59" fmla="*/ 2418907 w 4465674"/>
            <a:gd name="connsiteY59" fmla="*/ 2454348 h 2915093"/>
            <a:gd name="connsiteX60" fmla="*/ 2223976 w 4465674"/>
            <a:gd name="connsiteY60" fmla="*/ 2365744 h 2915093"/>
            <a:gd name="connsiteX61" fmla="*/ 2206255 w 4465674"/>
            <a:gd name="connsiteY61" fmla="*/ 2348023 h 2915093"/>
            <a:gd name="connsiteX62" fmla="*/ 2206255 w 4465674"/>
            <a:gd name="connsiteY62" fmla="*/ 2401186 h 2915093"/>
            <a:gd name="connsiteX63" fmla="*/ 1825255 w 4465674"/>
            <a:gd name="connsiteY63" fmla="*/ 2179674 h 2915093"/>
            <a:gd name="connsiteX64" fmla="*/ 1648046 w 4465674"/>
            <a:gd name="connsiteY64" fmla="*/ 1913860 h 2915093"/>
            <a:gd name="connsiteX65" fmla="*/ 1532860 w 4465674"/>
            <a:gd name="connsiteY65" fmla="*/ 1470837 h 2915093"/>
            <a:gd name="connsiteX66" fmla="*/ 1399953 w 4465674"/>
            <a:gd name="connsiteY66" fmla="*/ 1045534 h 2915093"/>
            <a:gd name="connsiteX67" fmla="*/ 1302488 w 4465674"/>
            <a:gd name="connsiteY67" fmla="*/ 558209 h 2915093"/>
            <a:gd name="connsiteX68" fmla="*/ 1249325 w 4465674"/>
            <a:gd name="connsiteY68" fmla="*/ 567069 h 2915093"/>
            <a:gd name="connsiteX69" fmla="*/ 1205023 w 4465674"/>
            <a:gd name="connsiteY69" fmla="*/ 505046 h 2915093"/>
            <a:gd name="connsiteX70" fmla="*/ 1151860 w 4465674"/>
            <a:gd name="connsiteY70" fmla="*/ 629093 h 2915093"/>
            <a:gd name="connsiteX71" fmla="*/ 1107558 w 4465674"/>
            <a:gd name="connsiteY71" fmla="*/ 363279 h 2915093"/>
            <a:gd name="connsiteX72" fmla="*/ 1036674 w 4465674"/>
            <a:gd name="connsiteY72" fmla="*/ 673395 h 2915093"/>
            <a:gd name="connsiteX73" fmla="*/ 992372 w 4465674"/>
            <a:gd name="connsiteY73" fmla="*/ 1275906 h 2915093"/>
            <a:gd name="connsiteX74" fmla="*/ 930348 w 4465674"/>
            <a:gd name="connsiteY74" fmla="*/ 1683488 h 2915093"/>
            <a:gd name="connsiteX75" fmla="*/ 868325 w 4465674"/>
            <a:gd name="connsiteY75" fmla="*/ 1683488 h 2915093"/>
            <a:gd name="connsiteX76" fmla="*/ 806302 w 4465674"/>
            <a:gd name="connsiteY76" fmla="*/ 2029046 h 2915093"/>
            <a:gd name="connsiteX77" fmla="*/ 788581 w 4465674"/>
            <a:gd name="connsiteY77" fmla="*/ 2046767 h 2915093"/>
            <a:gd name="connsiteX78" fmla="*/ 744279 w 4465674"/>
            <a:gd name="connsiteY78" fmla="*/ 2223976 h 2915093"/>
            <a:gd name="connsiteX79" fmla="*/ 593651 w 4465674"/>
            <a:gd name="connsiteY79" fmla="*/ 2312581 h 2915093"/>
            <a:gd name="connsiteX80" fmla="*/ 522767 w 4465674"/>
            <a:gd name="connsiteY80" fmla="*/ 2569534 h 2915093"/>
            <a:gd name="connsiteX81" fmla="*/ 496186 w 4465674"/>
            <a:gd name="connsiteY81" fmla="*/ 2587255 h 2915093"/>
            <a:gd name="connsiteX82" fmla="*/ 407581 w 4465674"/>
            <a:gd name="connsiteY82" fmla="*/ 2569534 h 2915093"/>
            <a:gd name="connsiteX83" fmla="*/ 381000 w 4465674"/>
            <a:gd name="connsiteY83" fmla="*/ 2578395 h 2915093"/>
            <a:gd name="connsiteX84" fmla="*/ 336697 w 4465674"/>
            <a:gd name="connsiteY84" fmla="*/ 2534093 h 2915093"/>
            <a:gd name="connsiteX85" fmla="*/ 194930 w 4465674"/>
            <a:gd name="connsiteY85" fmla="*/ 2569534 h 2915093"/>
            <a:gd name="connsiteX86" fmla="*/ 159488 w 4465674"/>
            <a:gd name="connsiteY86" fmla="*/ 2897372 h 2915093"/>
            <a:gd name="connsiteX87" fmla="*/ 79744 w 4465674"/>
            <a:gd name="connsiteY87" fmla="*/ 2516372 h 2915093"/>
            <a:gd name="connsiteX88" fmla="*/ 17721 w 4465674"/>
            <a:gd name="connsiteY88" fmla="*/ 2472069 h 2915093"/>
            <a:gd name="connsiteX89" fmla="*/ 0 w 4465674"/>
            <a:gd name="connsiteY89" fmla="*/ 2321441 h 291509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</a:cxnLst>
          <a:rect l="l" t="t" r="r" b="b"/>
          <a:pathLst>
            <a:path w="4465674" h="2915093">
              <a:moveTo>
                <a:pt x="0" y="2321441"/>
              </a:moveTo>
              <a:lnTo>
                <a:pt x="106325" y="2401186"/>
              </a:lnTo>
              <a:lnTo>
                <a:pt x="159488" y="2915093"/>
              </a:lnTo>
              <a:lnTo>
                <a:pt x="203790" y="2401186"/>
              </a:lnTo>
              <a:lnTo>
                <a:pt x="345558" y="2410046"/>
              </a:lnTo>
              <a:lnTo>
                <a:pt x="487325" y="2472069"/>
              </a:lnTo>
              <a:lnTo>
                <a:pt x="620232" y="2153093"/>
              </a:lnTo>
              <a:lnTo>
                <a:pt x="611372" y="2108790"/>
              </a:lnTo>
              <a:lnTo>
                <a:pt x="770860" y="2037906"/>
              </a:lnTo>
              <a:lnTo>
                <a:pt x="886046" y="1337930"/>
              </a:lnTo>
              <a:lnTo>
                <a:pt x="921488" y="1337930"/>
              </a:lnTo>
              <a:lnTo>
                <a:pt x="1010093" y="1001232"/>
              </a:lnTo>
              <a:lnTo>
                <a:pt x="1027814" y="274674"/>
              </a:lnTo>
              <a:lnTo>
                <a:pt x="1063255" y="0"/>
              </a:lnTo>
              <a:lnTo>
                <a:pt x="1151860" y="0"/>
              </a:lnTo>
              <a:lnTo>
                <a:pt x="1169581" y="88604"/>
              </a:lnTo>
              <a:lnTo>
                <a:pt x="1213883" y="26581"/>
              </a:lnTo>
              <a:lnTo>
                <a:pt x="1240465" y="8860"/>
              </a:lnTo>
              <a:lnTo>
                <a:pt x="1267046" y="44302"/>
              </a:lnTo>
              <a:lnTo>
                <a:pt x="1275907" y="26581"/>
              </a:lnTo>
              <a:lnTo>
                <a:pt x="1311348" y="26581"/>
              </a:lnTo>
              <a:lnTo>
                <a:pt x="1426535" y="682255"/>
              </a:lnTo>
              <a:lnTo>
                <a:pt x="1559442" y="1267046"/>
              </a:lnTo>
              <a:lnTo>
                <a:pt x="1763232" y="1869558"/>
              </a:lnTo>
              <a:lnTo>
                <a:pt x="1842976" y="1975883"/>
              </a:lnTo>
              <a:lnTo>
                <a:pt x="2179674" y="2206255"/>
              </a:lnTo>
              <a:lnTo>
                <a:pt x="2206255" y="2206255"/>
              </a:lnTo>
              <a:lnTo>
                <a:pt x="2223976" y="2170813"/>
              </a:lnTo>
              <a:lnTo>
                <a:pt x="2286000" y="2250558"/>
              </a:lnTo>
              <a:lnTo>
                <a:pt x="2587255" y="2356883"/>
              </a:lnTo>
              <a:lnTo>
                <a:pt x="2622697" y="2339162"/>
              </a:lnTo>
              <a:lnTo>
                <a:pt x="2853069" y="2374604"/>
              </a:lnTo>
              <a:lnTo>
                <a:pt x="3003697" y="2418906"/>
              </a:lnTo>
              <a:lnTo>
                <a:pt x="3065721" y="2418906"/>
              </a:lnTo>
              <a:lnTo>
                <a:pt x="3234069" y="2445488"/>
              </a:lnTo>
              <a:lnTo>
                <a:pt x="3304953" y="2427767"/>
              </a:lnTo>
              <a:lnTo>
                <a:pt x="3393558" y="2427767"/>
              </a:lnTo>
              <a:lnTo>
                <a:pt x="3526465" y="2472069"/>
              </a:lnTo>
              <a:lnTo>
                <a:pt x="3730255" y="2472069"/>
              </a:lnTo>
              <a:lnTo>
                <a:pt x="3845442" y="2498651"/>
              </a:lnTo>
              <a:lnTo>
                <a:pt x="3818860" y="2498651"/>
              </a:lnTo>
              <a:lnTo>
                <a:pt x="3836581" y="2507511"/>
              </a:lnTo>
              <a:lnTo>
                <a:pt x="4004930" y="2489790"/>
              </a:lnTo>
              <a:lnTo>
                <a:pt x="4173279" y="2489790"/>
              </a:lnTo>
              <a:lnTo>
                <a:pt x="4261883" y="2525232"/>
              </a:lnTo>
              <a:lnTo>
                <a:pt x="4465674" y="2498651"/>
              </a:lnTo>
              <a:lnTo>
                <a:pt x="4447953" y="2622697"/>
              </a:lnTo>
              <a:lnTo>
                <a:pt x="4084674" y="2631558"/>
              </a:lnTo>
              <a:lnTo>
                <a:pt x="3960628" y="2596116"/>
              </a:lnTo>
              <a:lnTo>
                <a:pt x="3641651" y="2587255"/>
              </a:lnTo>
              <a:lnTo>
                <a:pt x="3384697" y="2569534"/>
              </a:lnTo>
              <a:lnTo>
                <a:pt x="3163186" y="2569534"/>
              </a:lnTo>
              <a:lnTo>
                <a:pt x="3163186" y="2569534"/>
              </a:lnTo>
              <a:lnTo>
                <a:pt x="3056860" y="2542953"/>
              </a:lnTo>
              <a:lnTo>
                <a:pt x="2968255" y="2498651"/>
              </a:lnTo>
              <a:lnTo>
                <a:pt x="2853069" y="2516372"/>
              </a:lnTo>
              <a:lnTo>
                <a:pt x="2720162" y="2480930"/>
              </a:lnTo>
              <a:lnTo>
                <a:pt x="2604976" y="2489790"/>
              </a:lnTo>
              <a:lnTo>
                <a:pt x="2534093" y="2463209"/>
              </a:lnTo>
              <a:lnTo>
                <a:pt x="2418907" y="2454348"/>
              </a:lnTo>
              <a:lnTo>
                <a:pt x="2223976" y="2365744"/>
              </a:lnTo>
              <a:lnTo>
                <a:pt x="2206255" y="2348023"/>
              </a:lnTo>
              <a:lnTo>
                <a:pt x="2206255" y="2401186"/>
              </a:lnTo>
              <a:lnTo>
                <a:pt x="1825255" y="2179674"/>
              </a:lnTo>
              <a:lnTo>
                <a:pt x="1648046" y="1913860"/>
              </a:lnTo>
              <a:lnTo>
                <a:pt x="1532860" y="1470837"/>
              </a:lnTo>
              <a:lnTo>
                <a:pt x="1399953" y="1045534"/>
              </a:lnTo>
              <a:lnTo>
                <a:pt x="1302488" y="558209"/>
              </a:lnTo>
              <a:lnTo>
                <a:pt x="1249325" y="567069"/>
              </a:lnTo>
              <a:lnTo>
                <a:pt x="1205023" y="505046"/>
              </a:lnTo>
              <a:lnTo>
                <a:pt x="1151860" y="629093"/>
              </a:lnTo>
              <a:lnTo>
                <a:pt x="1107558" y="363279"/>
              </a:lnTo>
              <a:lnTo>
                <a:pt x="1036674" y="673395"/>
              </a:lnTo>
              <a:lnTo>
                <a:pt x="992372" y="1275906"/>
              </a:lnTo>
              <a:lnTo>
                <a:pt x="930348" y="1683488"/>
              </a:lnTo>
              <a:lnTo>
                <a:pt x="868325" y="1683488"/>
              </a:lnTo>
              <a:lnTo>
                <a:pt x="806302" y="2029046"/>
              </a:lnTo>
              <a:lnTo>
                <a:pt x="788581" y="2046767"/>
              </a:lnTo>
              <a:lnTo>
                <a:pt x="744279" y="2223976"/>
              </a:lnTo>
              <a:lnTo>
                <a:pt x="593651" y="2312581"/>
              </a:lnTo>
              <a:lnTo>
                <a:pt x="522767" y="2569534"/>
              </a:lnTo>
              <a:lnTo>
                <a:pt x="496186" y="2587255"/>
              </a:lnTo>
              <a:lnTo>
                <a:pt x="407581" y="2569534"/>
              </a:lnTo>
              <a:lnTo>
                <a:pt x="381000" y="2578395"/>
              </a:lnTo>
              <a:lnTo>
                <a:pt x="336697" y="2534093"/>
              </a:lnTo>
              <a:lnTo>
                <a:pt x="194930" y="2569534"/>
              </a:lnTo>
              <a:lnTo>
                <a:pt x="159488" y="2897372"/>
              </a:lnTo>
              <a:lnTo>
                <a:pt x="79744" y="2516372"/>
              </a:lnTo>
              <a:lnTo>
                <a:pt x="17721" y="2472069"/>
              </a:lnTo>
              <a:lnTo>
                <a:pt x="0" y="2321441"/>
              </a:lnTo>
              <a:close/>
            </a:path>
          </a:pathLst>
        </a:custGeom>
        <a:solidFill xmlns:a="http://schemas.openxmlformats.org/drawingml/2006/main">
          <a:schemeClr val="bg1">
            <a:lumMod val="50000"/>
            <a:alpha val="32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0.00858</cdr:x>
      <cdr:y>0.00146</cdr:y>
    </cdr:from>
    <cdr:to>
      <cdr:x>0.50429</cdr:x>
      <cdr:y>0.50073</cdr:y>
    </cdr:to>
    <cdr:sp macro="" textlink="">
      <cdr:nvSpPr>
        <cdr:cNvPr id="61" name="Freeform: Shape 60">
          <a:extLst xmlns:a="http://schemas.openxmlformats.org/drawingml/2006/main">
            <a:ext uri="{FF2B5EF4-FFF2-40B4-BE49-F238E27FC236}">
              <a16:creationId xmlns:a16="http://schemas.microsoft.com/office/drawing/2014/main" id="{379A7A5C-9B50-473E-B83E-B1B26BF55252}"/>
            </a:ext>
          </a:extLst>
        </cdr:cNvPr>
        <cdr:cNvSpPr/>
      </cdr:nvSpPr>
      <cdr:spPr>
        <a:xfrm xmlns:a="http://schemas.openxmlformats.org/drawingml/2006/main">
          <a:off x="79744" y="8860"/>
          <a:ext cx="4607442" cy="3030280"/>
        </a:xfrm>
        <a:custGeom xmlns:a="http://schemas.openxmlformats.org/drawingml/2006/main">
          <a:avLst/>
          <a:gdLst>
            <a:gd name="connsiteX0" fmla="*/ 4607442 w 4607442"/>
            <a:gd name="connsiteY0" fmla="*/ 3030280 h 3030280"/>
            <a:gd name="connsiteX1" fmla="*/ 3561907 w 4607442"/>
            <a:gd name="connsiteY1" fmla="*/ 2534093 h 3030280"/>
            <a:gd name="connsiteX2" fmla="*/ 3065721 w 4607442"/>
            <a:gd name="connsiteY2" fmla="*/ 2286000 h 3030280"/>
            <a:gd name="connsiteX3" fmla="*/ 2082209 w 4607442"/>
            <a:gd name="connsiteY3" fmla="*/ 1603745 h 3030280"/>
            <a:gd name="connsiteX4" fmla="*/ 1373372 w 4607442"/>
            <a:gd name="connsiteY4" fmla="*/ 992373 h 3030280"/>
            <a:gd name="connsiteX5" fmla="*/ 478465 w 4607442"/>
            <a:gd name="connsiteY5" fmla="*/ 132907 h 3030280"/>
            <a:gd name="connsiteX6" fmla="*/ 354419 w 4607442"/>
            <a:gd name="connsiteY6" fmla="*/ 0 h 3030280"/>
            <a:gd name="connsiteX7" fmla="*/ 0 w 4607442"/>
            <a:gd name="connsiteY7" fmla="*/ 256954 h 3030280"/>
            <a:gd name="connsiteX8" fmla="*/ 230372 w 4607442"/>
            <a:gd name="connsiteY8" fmla="*/ 496187 h 3030280"/>
            <a:gd name="connsiteX9" fmla="*/ 1515140 w 4607442"/>
            <a:gd name="connsiteY9" fmla="*/ 1506280 h 3030280"/>
            <a:gd name="connsiteX10" fmla="*/ 2294861 w 4607442"/>
            <a:gd name="connsiteY10" fmla="*/ 2011326 h 3030280"/>
            <a:gd name="connsiteX11" fmla="*/ 3048000 w 4607442"/>
            <a:gd name="connsiteY11" fmla="*/ 2436628 h 3030280"/>
            <a:gd name="connsiteX12" fmla="*/ 3730256 w 4607442"/>
            <a:gd name="connsiteY12" fmla="*/ 2711303 h 3030280"/>
            <a:gd name="connsiteX13" fmla="*/ 4607442 w 4607442"/>
            <a:gd name="connsiteY13" fmla="*/ 3030280 h 303028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4607442" h="3030280">
              <a:moveTo>
                <a:pt x="4607442" y="3030280"/>
              </a:moveTo>
              <a:lnTo>
                <a:pt x="3561907" y="2534093"/>
              </a:lnTo>
              <a:lnTo>
                <a:pt x="3065721" y="2286000"/>
              </a:lnTo>
              <a:lnTo>
                <a:pt x="2082209" y="1603745"/>
              </a:lnTo>
              <a:lnTo>
                <a:pt x="1373372" y="992373"/>
              </a:lnTo>
              <a:lnTo>
                <a:pt x="478465" y="132907"/>
              </a:lnTo>
              <a:lnTo>
                <a:pt x="354419" y="0"/>
              </a:lnTo>
              <a:lnTo>
                <a:pt x="0" y="256954"/>
              </a:lnTo>
              <a:lnTo>
                <a:pt x="230372" y="496187"/>
              </a:lnTo>
              <a:lnTo>
                <a:pt x="1515140" y="1506280"/>
              </a:lnTo>
              <a:lnTo>
                <a:pt x="2294861" y="2011326"/>
              </a:lnTo>
              <a:lnTo>
                <a:pt x="3048000" y="2436628"/>
              </a:lnTo>
              <a:lnTo>
                <a:pt x="3730256" y="2711303"/>
              </a:lnTo>
              <a:lnTo>
                <a:pt x="4607442" y="3030280"/>
              </a:lnTo>
              <a:close/>
            </a:path>
          </a:pathLst>
        </a:custGeom>
        <a:solidFill xmlns:a="http://schemas.openxmlformats.org/drawingml/2006/main">
          <a:schemeClr val="bg1">
            <a:lumMod val="50000"/>
            <a:alpha val="32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0.67149</cdr:x>
      <cdr:y>0.88872</cdr:y>
    </cdr:from>
    <cdr:to>
      <cdr:x>0.91216</cdr:x>
      <cdr:y>0.9515</cdr:y>
    </cdr:to>
    <cdr:sp macro="" textlink="">
      <cdr:nvSpPr>
        <cdr:cNvPr id="56" name="TextBox 1">
          <a:extLst xmlns:a="http://schemas.openxmlformats.org/drawingml/2006/main">
            <a:ext uri="{FF2B5EF4-FFF2-40B4-BE49-F238E27FC236}">
              <a16:creationId xmlns:a16="http://schemas.microsoft.com/office/drawing/2014/main" id="{CB87BDE9-71C8-494F-8201-F87BFD81D886}"/>
            </a:ext>
          </a:extLst>
        </cdr:cNvPr>
        <cdr:cNvSpPr txBox="1"/>
      </cdr:nvSpPr>
      <cdr:spPr>
        <a:xfrm xmlns:a="http://schemas.openxmlformats.org/drawingml/2006/main">
          <a:off x="6236447" y="5393764"/>
          <a:ext cx="2235201" cy="3810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horz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/>
            <a:t>Q</a:t>
          </a:r>
          <a:r>
            <a:rPr lang="en-GB" sz="1500" baseline="-25000"/>
            <a:t>T</a:t>
          </a:r>
          <a:r>
            <a:rPr lang="en-GB" sz="1500"/>
            <a:t> lower limit = 67.53m</a:t>
          </a:r>
          <a:r>
            <a:rPr lang="en-GB" sz="1500" baseline="30000"/>
            <a:t>3</a:t>
          </a:r>
          <a:r>
            <a:rPr lang="en-GB" sz="1500"/>
            <a:t>/s </a:t>
          </a:r>
        </a:p>
      </cdr:txBody>
    </cdr:sp>
  </cdr:relSizeAnchor>
  <cdr:relSizeAnchor xmlns:cdr="http://schemas.openxmlformats.org/drawingml/2006/chartDrawing">
    <cdr:from>
      <cdr:x>0.67085</cdr:x>
      <cdr:y>0.93304</cdr:y>
    </cdr:from>
    <cdr:to>
      <cdr:x>0.91988</cdr:x>
      <cdr:y>0.99582</cdr:y>
    </cdr:to>
    <cdr:sp macro="" textlink="">
      <cdr:nvSpPr>
        <cdr:cNvPr id="59" name="TextBox 1">
          <a:extLst xmlns:a="http://schemas.openxmlformats.org/drawingml/2006/main">
            <a:ext uri="{FF2B5EF4-FFF2-40B4-BE49-F238E27FC236}">
              <a16:creationId xmlns:a16="http://schemas.microsoft.com/office/drawing/2014/main" id="{CB87BDE9-71C8-494F-8201-F87BFD81D886}"/>
            </a:ext>
          </a:extLst>
        </cdr:cNvPr>
        <cdr:cNvSpPr txBox="1"/>
      </cdr:nvSpPr>
      <cdr:spPr>
        <a:xfrm xmlns:a="http://schemas.openxmlformats.org/drawingml/2006/main">
          <a:off x="6230469" y="5662707"/>
          <a:ext cx="2312895" cy="3810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horz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/>
            <a:t>Q</a:t>
          </a:r>
          <a:r>
            <a:rPr lang="en-GB" sz="1500" baseline="-25000"/>
            <a:t>T</a:t>
          </a:r>
          <a:r>
            <a:rPr lang="en-GB" sz="1500"/>
            <a:t> upper limit = 85.24m</a:t>
          </a:r>
          <a:r>
            <a:rPr lang="en-GB" sz="1500" baseline="30000"/>
            <a:t>3</a:t>
          </a:r>
          <a:r>
            <a:rPr lang="en-GB" sz="1500"/>
            <a:t>/s </a:t>
          </a:r>
        </a:p>
      </cdr:txBody>
    </cdr:sp>
  </cdr:relSizeAnchor>
  <cdr:relSizeAnchor xmlns:cdr="http://schemas.openxmlformats.org/drawingml/2006/chartDrawing">
    <cdr:from>
      <cdr:x>0.6834</cdr:x>
      <cdr:y>0.30576</cdr:y>
    </cdr:from>
    <cdr:to>
      <cdr:x>0.75869</cdr:x>
      <cdr:y>0.30724</cdr:y>
    </cdr:to>
    <cdr:cxnSp macro="">
      <cdr:nvCxnSpPr>
        <cdr:cNvPr id="53" name="Straight Arrow Connector 52">
          <a:extLst xmlns:a="http://schemas.openxmlformats.org/drawingml/2006/main">
            <a:ext uri="{FF2B5EF4-FFF2-40B4-BE49-F238E27FC236}">
              <a16:creationId xmlns:a16="http://schemas.microsoft.com/office/drawing/2014/main" id="{087353FE-BFF3-4C40-8A8C-9BE428A5DE8D}"/>
            </a:ext>
          </a:extLst>
        </cdr:cNvPr>
        <cdr:cNvCxnSpPr/>
      </cdr:nvCxnSpPr>
      <cdr:spPr>
        <a:xfrm xmlns:a="http://schemas.openxmlformats.org/drawingml/2006/main">
          <a:off x="6347012" y="1855694"/>
          <a:ext cx="699247" cy="8964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0.67632</cdr:x>
      <cdr:y>0.25357</cdr:y>
    </cdr:from>
    <cdr:to>
      <cdr:x>0.75386</cdr:x>
      <cdr:y>0.25406</cdr:y>
    </cdr:to>
    <cdr:cxnSp macro="">
      <cdr:nvCxnSpPr>
        <cdr:cNvPr id="62" name="Straight Arrow Connector 61">
          <a:extLst xmlns:a="http://schemas.openxmlformats.org/drawingml/2006/main">
            <a:ext uri="{FF2B5EF4-FFF2-40B4-BE49-F238E27FC236}">
              <a16:creationId xmlns:a16="http://schemas.microsoft.com/office/drawing/2014/main" id="{B2F4AE42-A1E9-44EE-9071-43A45DE23B25}"/>
            </a:ext>
          </a:extLst>
        </cdr:cNvPr>
        <cdr:cNvCxnSpPr/>
      </cdr:nvCxnSpPr>
      <cdr:spPr>
        <a:xfrm xmlns:a="http://schemas.openxmlformats.org/drawingml/2006/main">
          <a:off x="6281270" y="1538941"/>
          <a:ext cx="720165" cy="2988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0.76351</cdr:x>
      <cdr:y>0.25111</cdr:y>
    </cdr:from>
    <cdr:to>
      <cdr:x>0.87452</cdr:x>
      <cdr:y>0.28656</cdr:y>
    </cdr:to>
    <cdr:sp macro="" textlink="">
      <cdr:nvSpPr>
        <cdr:cNvPr id="55" name="TextBox 54">
          <a:extLst xmlns:a="http://schemas.openxmlformats.org/drawingml/2006/main">
            <a:ext uri="{FF2B5EF4-FFF2-40B4-BE49-F238E27FC236}">
              <a16:creationId xmlns:a16="http://schemas.microsoft.com/office/drawing/2014/main" id="{188E3119-380E-488F-86C2-19F79F0D2244}"/>
            </a:ext>
          </a:extLst>
        </cdr:cNvPr>
        <cdr:cNvSpPr txBox="1"/>
      </cdr:nvSpPr>
      <cdr:spPr>
        <a:xfrm xmlns:a="http://schemas.openxmlformats.org/drawingml/2006/main">
          <a:off x="7091082" y="1524000"/>
          <a:ext cx="1030942" cy="2151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0.75933</cdr:x>
      <cdr:y>0.28311</cdr:y>
    </cdr:from>
    <cdr:to>
      <cdr:x>0.889</cdr:x>
      <cdr:y>0.3353</cdr:y>
    </cdr:to>
    <cdr:sp macro="" textlink="">
      <cdr:nvSpPr>
        <cdr:cNvPr id="63" name="TextBox 1">
          <a:extLst xmlns:a="http://schemas.openxmlformats.org/drawingml/2006/main">
            <a:ext uri="{FF2B5EF4-FFF2-40B4-BE49-F238E27FC236}">
              <a16:creationId xmlns:a16="http://schemas.microsoft.com/office/drawing/2014/main" id="{C8DF6A1E-F2AE-45F9-B1E2-1CA086028340}"/>
            </a:ext>
          </a:extLst>
        </cdr:cNvPr>
        <cdr:cNvSpPr txBox="1"/>
      </cdr:nvSpPr>
      <cdr:spPr>
        <a:xfrm xmlns:a="http://schemas.openxmlformats.org/drawingml/2006/main">
          <a:off x="7052234" y="1718235"/>
          <a:ext cx="1204259" cy="3167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horz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300">
              <a:effectLst/>
              <a:latin typeface="+mn-lt"/>
              <a:ea typeface="+mn-ea"/>
              <a:cs typeface="+mn-cs"/>
            </a:rPr>
            <a:t>Q</a:t>
          </a:r>
          <a:r>
            <a:rPr lang="en-GB" sz="1300" baseline="-25000">
              <a:effectLst/>
              <a:latin typeface="+mn-lt"/>
              <a:ea typeface="+mn-ea"/>
              <a:cs typeface="+mn-cs"/>
            </a:rPr>
            <a:t>T</a:t>
          </a:r>
          <a:r>
            <a:rPr lang="en-GB" sz="1300">
              <a:effectLst/>
              <a:latin typeface="+mn-lt"/>
              <a:ea typeface="+mn-ea"/>
              <a:cs typeface="+mn-cs"/>
            </a:rPr>
            <a:t> lower limit </a:t>
          </a:r>
          <a:endParaRPr lang="en-GB" sz="1300" baseline="-25000"/>
        </a:p>
      </cdr:txBody>
    </cdr:sp>
  </cdr:relSizeAnchor>
  <cdr:relSizeAnchor xmlns:cdr="http://schemas.openxmlformats.org/drawingml/2006/chartDrawing">
    <cdr:from>
      <cdr:x>0.7574</cdr:x>
      <cdr:y>0.22107</cdr:y>
    </cdr:from>
    <cdr:to>
      <cdr:x>0.88707</cdr:x>
      <cdr:y>0.27326</cdr:y>
    </cdr:to>
    <cdr:sp macro="" textlink="">
      <cdr:nvSpPr>
        <cdr:cNvPr id="64" name="TextBox 1">
          <a:extLst xmlns:a="http://schemas.openxmlformats.org/drawingml/2006/main">
            <a:ext uri="{FF2B5EF4-FFF2-40B4-BE49-F238E27FC236}">
              <a16:creationId xmlns:a16="http://schemas.microsoft.com/office/drawing/2014/main" id="{953B77C9-F238-4101-B76D-D0CEAC670CA0}"/>
            </a:ext>
          </a:extLst>
        </cdr:cNvPr>
        <cdr:cNvSpPr txBox="1"/>
      </cdr:nvSpPr>
      <cdr:spPr>
        <a:xfrm xmlns:a="http://schemas.openxmlformats.org/drawingml/2006/main">
          <a:off x="7034306" y="1341717"/>
          <a:ext cx="1204259" cy="3167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="horz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300">
              <a:effectLst/>
              <a:latin typeface="+mn-lt"/>
              <a:ea typeface="+mn-ea"/>
              <a:cs typeface="+mn-cs"/>
            </a:rPr>
            <a:t>Q</a:t>
          </a:r>
          <a:r>
            <a:rPr lang="en-GB" sz="1300" baseline="-25000">
              <a:effectLst/>
              <a:latin typeface="+mn-lt"/>
              <a:ea typeface="+mn-ea"/>
              <a:cs typeface="+mn-cs"/>
            </a:rPr>
            <a:t>T</a:t>
          </a:r>
          <a:r>
            <a:rPr lang="en-GB" sz="1300">
              <a:effectLst/>
              <a:latin typeface="+mn-lt"/>
              <a:ea typeface="+mn-ea"/>
              <a:cs typeface="+mn-cs"/>
            </a:rPr>
            <a:t> upper limit </a:t>
          </a:r>
          <a:endParaRPr lang="en-GB" sz="1300" baseline="-250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4628" cy="606941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5FA3B2-8304-4882-937C-528C2412213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0.23775</cdr:x>
      <cdr:y>0.35363</cdr:y>
    </cdr:from>
    <cdr:to>
      <cdr:x>0.7843</cdr:x>
      <cdr:y>0.66122</cdr:y>
    </cdr:to>
    <cdr:sp macro="" textlink="">
      <cdr:nvSpPr>
        <cdr:cNvPr id="2" name="Cube 1">
          <a:extLst xmlns:a="http://schemas.openxmlformats.org/drawingml/2006/main">
            <a:ext uri="{FF2B5EF4-FFF2-40B4-BE49-F238E27FC236}">
              <a16:creationId xmlns:a16="http://schemas.microsoft.com/office/drawing/2014/main" id="{47455F01-1490-4473-80F2-7BC66C680769}"/>
            </a:ext>
          </a:extLst>
        </cdr:cNvPr>
        <cdr:cNvSpPr/>
      </cdr:nvSpPr>
      <cdr:spPr>
        <a:xfrm xmlns:a="http://schemas.openxmlformats.org/drawingml/2006/main">
          <a:off x="2209800" y="2146300"/>
          <a:ext cx="5080000" cy="1866900"/>
        </a:xfrm>
        <a:prstGeom xmlns:a="http://schemas.openxmlformats.org/drawingml/2006/main" prst="cube">
          <a:avLst>
            <a:gd name="adj" fmla="val 79000"/>
          </a:avLst>
        </a:prstGeom>
        <a:solidFill xmlns:a="http://schemas.openxmlformats.org/drawingml/2006/main">
          <a:srgbClr val="FFFFFF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0.61146</cdr:x>
      <cdr:y>0.65285</cdr:y>
    </cdr:from>
    <cdr:to>
      <cdr:x>0.66611</cdr:x>
      <cdr:y>0.73654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E5E791A-FE08-4E86-B177-B329E13553AC}"/>
            </a:ext>
          </a:extLst>
        </cdr:cNvPr>
        <cdr:cNvSpPr txBox="1"/>
      </cdr:nvSpPr>
      <cdr:spPr>
        <a:xfrm xmlns:a="http://schemas.openxmlformats.org/drawingml/2006/main">
          <a:off x="5683250" y="39624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0.55817</cdr:x>
      <cdr:y>0.65285</cdr:y>
    </cdr:from>
    <cdr:to>
      <cdr:x>0.61282</cdr:x>
      <cdr:y>0.73654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61190BDB-52F3-412E-B2CE-C106256548F1}"/>
            </a:ext>
          </a:extLst>
        </cdr:cNvPr>
        <cdr:cNvSpPr txBox="1"/>
      </cdr:nvSpPr>
      <cdr:spPr>
        <a:xfrm xmlns:a="http://schemas.openxmlformats.org/drawingml/2006/main">
          <a:off x="5187950" y="39624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0.50556</cdr:x>
      <cdr:y>0.65285</cdr:y>
    </cdr:from>
    <cdr:to>
      <cdr:x>0.56022</cdr:x>
      <cdr:y>0.73654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9028743E-24A1-463A-A5BE-55F373DA9048}"/>
            </a:ext>
          </a:extLst>
        </cdr:cNvPr>
        <cdr:cNvSpPr txBox="1"/>
      </cdr:nvSpPr>
      <cdr:spPr>
        <a:xfrm xmlns:a="http://schemas.openxmlformats.org/drawingml/2006/main">
          <a:off x="4699000" y="39624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0.45296</cdr:x>
      <cdr:y>0.65285</cdr:y>
    </cdr:from>
    <cdr:to>
      <cdr:x>0.50761</cdr:x>
      <cdr:y>0.73654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188CCE1F-DBBC-4381-BB11-FD18CDF4F440}"/>
            </a:ext>
          </a:extLst>
        </cdr:cNvPr>
        <cdr:cNvSpPr txBox="1"/>
      </cdr:nvSpPr>
      <cdr:spPr>
        <a:xfrm xmlns:a="http://schemas.openxmlformats.org/drawingml/2006/main">
          <a:off x="4210050" y="39624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0.40035</cdr:x>
      <cdr:y>0.65285</cdr:y>
    </cdr:from>
    <cdr:to>
      <cdr:x>0.455</cdr:x>
      <cdr:y>0.73654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FB533BC7-35B7-4039-8913-2928BB710F2F}"/>
            </a:ext>
          </a:extLst>
        </cdr:cNvPr>
        <cdr:cNvSpPr txBox="1"/>
      </cdr:nvSpPr>
      <cdr:spPr>
        <a:xfrm xmlns:a="http://schemas.openxmlformats.org/drawingml/2006/main">
          <a:off x="3721100" y="39624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0.34774</cdr:x>
      <cdr:y>0.65285</cdr:y>
    </cdr:from>
    <cdr:to>
      <cdr:x>0.4024</cdr:x>
      <cdr:y>0.73654</cdr:y>
    </cdr:to>
    <cdr:sp macro="" textlink="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04C19AFF-FFB3-4C44-A805-2E6EE97ACCC6}"/>
            </a:ext>
          </a:extLst>
        </cdr:cNvPr>
        <cdr:cNvSpPr txBox="1"/>
      </cdr:nvSpPr>
      <cdr:spPr>
        <a:xfrm xmlns:a="http://schemas.openxmlformats.org/drawingml/2006/main">
          <a:off x="3232150" y="39624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0.29514</cdr:x>
      <cdr:y>0.65285</cdr:y>
    </cdr:from>
    <cdr:to>
      <cdr:x>0.34979</cdr:x>
      <cdr:y>0.73654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0810A38-E9C9-438C-97AA-2B3CA2337943}"/>
            </a:ext>
          </a:extLst>
        </cdr:cNvPr>
        <cdr:cNvSpPr txBox="1"/>
      </cdr:nvSpPr>
      <cdr:spPr>
        <a:xfrm xmlns:a="http://schemas.openxmlformats.org/drawingml/2006/main">
          <a:off x="2743200" y="39624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0.2439</cdr:x>
      <cdr:y>0.65285</cdr:y>
    </cdr:from>
    <cdr:to>
      <cdr:x>0.29855</cdr:x>
      <cdr:y>0.73654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E04F54FF-9918-4B5F-AE3F-3D4C11BA28B9}"/>
            </a:ext>
          </a:extLst>
        </cdr:cNvPr>
        <cdr:cNvSpPr txBox="1"/>
      </cdr:nvSpPr>
      <cdr:spPr>
        <a:xfrm xmlns:a="http://schemas.openxmlformats.org/drawingml/2006/main">
          <a:off x="2266950" y="39624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0.61146</cdr:x>
      <cdr:y>0.67691</cdr:y>
    </cdr:from>
    <cdr:to>
      <cdr:x>0.66611</cdr:x>
      <cdr:y>0.76061</cdr:y>
    </cdr:to>
    <cdr:sp macro="" textlink="">
      <cdr:nvSpPr>
        <cdr:cNvPr id="11" name="TextBox 10">
          <a:extLst xmlns:a="http://schemas.openxmlformats.org/drawingml/2006/main">
            <a:ext uri="{FF2B5EF4-FFF2-40B4-BE49-F238E27FC236}">
              <a16:creationId xmlns:a16="http://schemas.microsoft.com/office/drawing/2014/main" id="{00C0BADD-0689-4C7E-99F3-10691DC84907}"/>
            </a:ext>
          </a:extLst>
        </cdr:cNvPr>
        <cdr:cNvSpPr txBox="1"/>
      </cdr:nvSpPr>
      <cdr:spPr>
        <a:xfrm xmlns:a="http://schemas.openxmlformats.org/drawingml/2006/main">
          <a:off x="5683250" y="410845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0</a:t>
          </a:r>
        </a:p>
      </cdr:txBody>
    </cdr:sp>
  </cdr:relSizeAnchor>
  <cdr:relSizeAnchor xmlns:cdr="http://schemas.openxmlformats.org/drawingml/2006/chartDrawing">
    <cdr:from>
      <cdr:x>0.55133</cdr:x>
      <cdr:y>0.67691</cdr:y>
    </cdr:from>
    <cdr:to>
      <cdr:x>0.60599</cdr:x>
      <cdr:y>0.76061</cdr:y>
    </cdr:to>
    <cdr:sp macro="" textlink="">
      <cdr:nvSpPr>
        <cdr:cNvPr id="12" name="TextBox 11">
          <a:extLst xmlns:a="http://schemas.openxmlformats.org/drawingml/2006/main">
            <a:ext uri="{FF2B5EF4-FFF2-40B4-BE49-F238E27FC236}">
              <a16:creationId xmlns:a16="http://schemas.microsoft.com/office/drawing/2014/main" id="{9A3ACED7-B159-4C71-BA12-038571016D4B}"/>
            </a:ext>
          </a:extLst>
        </cdr:cNvPr>
        <cdr:cNvSpPr txBox="1"/>
      </cdr:nvSpPr>
      <cdr:spPr>
        <a:xfrm xmlns:a="http://schemas.openxmlformats.org/drawingml/2006/main">
          <a:off x="5124450" y="410845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100</a:t>
          </a:r>
        </a:p>
      </cdr:txBody>
    </cdr:sp>
  </cdr:relSizeAnchor>
  <cdr:relSizeAnchor xmlns:cdr="http://schemas.openxmlformats.org/drawingml/2006/chartDrawing">
    <cdr:from>
      <cdr:x>0.49873</cdr:x>
      <cdr:y>0.67691</cdr:y>
    </cdr:from>
    <cdr:to>
      <cdr:x>0.55338</cdr:x>
      <cdr:y>0.76061</cdr:y>
    </cdr:to>
    <cdr:sp macro="" textlink="">
      <cdr:nvSpPr>
        <cdr:cNvPr id="13" name="TextBox 12">
          <a:extLst xmlns:a="http://schemas.openxmlformats.org/drawingml/2006/main">
            <a:ext uri="{FF2B5EF4-FFF2-40B4-BE49-F238E27FC236}">
              <a16:creationId xmlns:a16="http://schemas.microsoft.com/office/drawing/2014/main" id="{EB596AF0-A615-481C-9700-9EA73885053F}"/>
            </a:ext>
          </a:extLst>
        </cdr:cNvPr>
        <cdr:cNvSpPr txBox="1"/>
      </cdr:nvSpPr>
      <cdr:spPr>
        <a:xfrm xmlns:a="http://schemas.openxmlformats.org/drawingml/2006/main">
          <a:off x="4635500" y="410845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200</a:t>
          </a:r>
        </a:p>
      </cdr:txBody>
    </cdr:sp>
  </cdr:relSizeAnchor>
  <cdr:relSizeAnchor xmlns:cdr="http://schemas.openxmlformats.org/drawingml/2006/chartDrawing">
    <cdr:from>
      <cdr:x>0.44612</cdr:x>
      <cdr:y>0.67691</cdr:y>
    </cdr:from>
    <cdr:to>
      <cdr:x>0.50078</cdr:x>
      <cdr:y>0.76061</cdr:y>
    </cdr:to>
    <cdr:sp macro="" textlink="">
      <cdr:nvSpPr>
        <cdr:cNvPr id="14" name="TextBox 13">
          <a:extLst xmlns:a="http://schemas.openxmlformats.org/drawingml/2006/main">
            <a:ext uri="{FF2B5EF4-FFF2-40B4-BE49-F238E27FC236}">
              <a16:creationId xmlns:a16="http://schemas.microsoft.com/office/drawing/2014/main" id="{71916E10-13AE-4DA8-B1AA-A3D7012827FF}"/>
            </a:ext>
          </a:extLst>
        </cdr:cNvPr>
        <cdr:cNvSpPr txBox="1"/>
      </cdr:nvSpPr>
      <cdr:spPr>
        <a:xfrm xmlns:a="http://schemas.openxmlformats.org/drawingml/2006/main">
          <a:off x="4146550" y="410845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300</a:t>
          </a:r>
        </a:p>
      </cdr:txBody>
    </cdr:sp>
  </cdr:relSizeAnchor>
  <cdr:relSizeAnchor xmlns:cdr="http://schemas.openxmlformats.org/drawingml/2006/chartDrawing">
    <cdr:from>
      <cdr:x>0.39352</cdr:x>
      <cdr:y>0.67691</cdr:y>
    </cdr:from>
    <cdr:to>
      <cdr:x>0.44817</cdr:x>
      <cdr:y>0.76061</cdr:y>
    </cdr:to>
    <cdr:sp macro="" textlink="">
      <cdr:nvSpPr>
        <cdr:cNvPr id="15" name="TextBox 14">
          <a:extLst xmlns:a="http://schemas.openxmlformats.org/drawingml/2006/main">
            <a:ext uri="{FF2B5EF4-FFF2-40B4-BE49-F238E27FC236}">
              <a16:creationId xmlns:a16="http://schemas.microsoft.com/office/drawing/2014/main" id="{E2AAFD25-CA5C-4443-83FD-0C51F32B8346}"/>
            </a:ext>
          </a:extLst>
        </cdr:cNvPr>
        <cdr:cNvSpPr txBox="1"/>
      </cdr:nvSpPr>
      <cdr:spPr>
        <a:xfrm xmlns:a="http://schemas.openxmlformats.org/drawingml/2006/main">
          <a:off x="3657600" y="410845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400</a:t>
          </a:r>
        </a:p>
      </cdr:txBody>
    </cdr:sp>
  </cdr:relSizeAnchor>
  <cdr:relSizeAnchor xmlns:cdr="http://schemas.openxmlformats.org/drawingml/2006/chartDrawing">
    <cdr:from>
      <cdr:x>0.34091</cdr:x>
      <cdr:y>0.67691</cdr:y>
    </cdr:from>
    <cdr:to>
      <cdr:x>0.39557</cdr:x>
      <cdr:y>0.76061</cdr:y>
    </cdr:to>
    <cdr:sp macro="" textlink="">
      <cdr:nvSpPr>
        <cdr:cNvPr id="16" name="TextBox 15">
          <a:extLst xmlns:a="http://schemas.openxmlformats.org/drawingml/2006/main">
            <a:ext uri="{FF2B5EF4-FFF2-40B4-BE49-F238E27FC236}">
              <a16:creationId xmlns:a16="http://schemas.microsoft.com/office/drawing/2014/main" id="{34A065EE-D725-4CF4-8FA5-A00F07F29F31}"/>
            </a:ext>
          </a:extLst>
        </cdr:cNvPr>
        <cdr:cNvSpPr txBox="1"/>
      </cdr:nvSpPr>
      <cdr:spPr>
        <a:xfrm xmlns:a="http://schemas.openxmlformats.org/drawingml/2006/main">
          <a:off x="3168650" y="410845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500</a:t>
          </a:r>
        </a:p>
      </cdr:txBody>
    </cdr:sp>
  </cdr:relSizeAnchor>
  <cdr:relSizeAnchor xmlns:cdr="http://schemas.openxmlformats.org/drawingml/2006/chartDrawing">
    <cdr:from>
      <cdr:x>0.28831</cdr:x>
      <cdr:y>0.67691</cdr:y>
    </cdr:from>
    <cdr:to>
      <cdr:x>0.34296</cdr:x>
      <cdr:y>0.76061</cdr:y>
    </cdr:to>
    <cdr:sp macro="" textlink="">
      <cdr:nvSpPr>
        <cdr:cNvPr id="17" name="TextBox 16">
          <a:extLst xmlns:a="http://schemas.openxmlformats.org/drawingml/2006/main">
            <a:ext uri="{FF2B5EF4-FFF2-40B4-BE49-F238E27FC236}">
              <a16:creationId xmlns:a16="http://schemas.microsoft.com/office/drawing/2014/main" id="{65D0D9A8-1360-4B5F-991C-04DB2156AB96}"/>
            </a:ext>
          </a:extLst>
        </cdr:cNvPr>
        <cdr:cNvSpPr txBox="1"/>
      </cdr:nvSpPr>
      <cdr:spPr>
        <a:xfrm xmlns:a="http://schemas.openxmlformats.org/drawingml/2006/main">
          <a:off x="2679700" y="410845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600</a:t>
          </a:r>
        </a:p>
      </cdr:txBody>
    </cdr:sp>
  </cdr:relSizeAnchor>
  <cdr:relSizeAnchor xmlns:cdr="http://schemas.openxmlformats.org/drawingml/2006/chartDrawing">
    <cdr:from>
      <cdr:x>0.23707</cdr:x>
      <cdr:y>0.67691</cdr:y>
    </cdr:from>
    <cdr:to>
      <cdr:x>0.29172</cdr:x>
      <cdr:y>0.76061</cdr:y>
    </cdr:to>
    <cdr:sp macro="" textlink="">
      <cdr:nvSpPr>
        <cdr:cNvPr id="18" name="TextBox 17">
          <a:extLst xmlns:a="http://schemas.openxmlformats.org/drawingml/2006/main">
            <a:ext uri="{FF2B5EF4-FFF2-40B4-BE49-F238E27FC236}">
              <a16:creationId xmlns:a16="http://schemas.microsoft.com/office/drawing/2014/main" id="{8353A726-11AF-451B-91CB-5E5A00448D97}"/>
            </a:ext>
          </a:extLst>
        </cdr:cNvPr>
        <cdr:cNvSpPr txBox="1"/>
      </cdr:nvSpPr>
      <cdr:spPr>
        <a:xfrm xmlns:a="http://schemas.openxmlformats.org/drawingml/2006/main">
          <a:off x="2203450" y="410845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700</a:t>
          </a:r>
        </a:p>
      </cdr:txBody>
    </cdr:sp>
  </cdr:relSizeAnchor>
  <cdr:relSizeAnchor xmlns:cdr="http://schemas.openxmlformats.org/drawingml/2006/chartDrawing">
    <cdr:from>
      <cdr:x>0.61965</cdr:x>
      <cdr:y>0.63506</cdr:y>
    </cdr:from>
    <cdr:to>
      <cdr:x>0.67431</cdr:x>
      <cdr:y>0.71876</cdr:y>
    </cdr:to>
    <cdr:sp macro="" textlink="">
      <cdr:nvSpPr>
        <cdr:cNvPr id="19" name="TextBox 18">
          <a:extLst xmlns:a="http://schemas.openxmlformats.org/drawingml/2006/main">
            <a:ext uri="{FF2B5EF4-FFF2-40B4-BE49-F238E27FC236}">
              <a16:creationId xmlns:a16="http://schemas.microsoft.com/office/drawing/2014/main" id="{605662A2-A6EC-41B7-ADA7-50B82F466561}"/>
            </a:ext>
          </a:extLst>
        </cdr:cNvPr>
        <cdr:cNvSpPr txBox="1"/>
      </cdr:nvSpPr>
      <cdr:spPr>
        <a:xfrm xmlns:a="http://schemas.openxmlformats.org/drawingml/2006/main">
          <a:off x="5759450" y="385445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0.64083</cdr:x>
      <cdr:y>0.60305</cdr:y>
    </cdr:from>
    <cdr:to>
      <cdr:x>0.69549</cdr:x>
      <cdr:y>0.68674</cdr:y>
    </cdr:to>
    <cdr:sp macro="" textlink="">
      <cdr:nvSpPr>
        <cdr:cNvPr id="20" name="TextBox 19">
          <a:extLst xmlns:a="http://schemas.openxmlformats.org/drawingml/2006/main">
            <a:ext uri="{FF2B5EF4-FFF2-40B4-BE49-F238E27FC236}">
              <a16:creationId xmlns:a16="http://schemas.microsoft.com/office/drawing/2014/main" id="{525B997A-5F02-4C90-9933-2877E0C977A8}"/>
            </a:ext>
          </a:extLst>
        </cdr:cNvPr>
        <cdr:cNvSpPr txBox="1"/>
      </cdr:nvSpPr>
      <cdr:spPr>
        <a:xfrm xmlns:a="http://schemas.openxmlformats.org/drawingml/2006/main">
          <a:off x="5956300" y="366014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0.66228</cdr:x>
      <cdr:y>0.57103</cdr:y>
    </cdr:from>
    <cdr:to>
      <cdr:x>0.71694</cdr:x>
      <cdr:y>0.65473</cdr:y>
    </cdr:to>
    <cdr:sp macro="" textlink="">
      <cdr:nvSpPr>
        <cdr:cNvPr id="21" name="TextBox 20">
          <a:extLst xmlns:a="http://schemas.openxmlformats.org/drawingml/2006/main">
            <a:ext uri="{FF2B5EF4-FFF2-40B4-BE49-F238E27FC236}">
              <a16:creationId xmlns:a16="http://schemas.microsoft.com/office/drawing/2014/main" id="{6455011A-E8BE-49EF-8CC7-85EE2B4F58B1}"/>
            </a:ext>
          </a:extLst>
        </cdr:cNvPr>
        <cdr:cNvSpPr txBox="1"/>
      </cdr:nvSpPr>
      <cdr:spPr>
        <a:xfrm xmlns:a="http://schemas.openxmlformats.org/drawingml/2006/main">
          <a:off x="6155690" y="346583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0.68251</cdr:x>
      <cdr:y>0.53902</cdr:y>
    </cdr:from>
    <cdr:to>
      <cdr:x>0.73716</cdr:x>
      <cdr:y>0.62272</cdr:y>
    </cdr:to>
    <cdr:sp macro="" textlink="">
      <cdr:nvSpPr>
        <cdr:cNvPr id="22" name="TextBox 21">
          <a:extLst xmlns:a="http://schemas.openxmlformats.org/drawingml/2006/main">
            <a:ext uri="{FF2B5EF4-FFF2-40B4-BE49-F238E27FC236}">
              <a16:creationId xmlns:a16="http://schemas.microsoft.com/office/drawing/2014/main" id="{3720C0EB-2107-490B-905D-20A57D4C0DAE}"/>
            </a:ext>
          </a:extLst>
        </cdr:cNvPr>
        <cdr:cNvSpPr txBox="1"/>
      </cdr:nvSpPr>
      <cdr:spPr>
        <a:xfrm xmlns:a="http://schemas.openxmlformats.org/drawingml/2006/main">
          <a:off x="6343650" y="327152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0.70437</cdr:x>
      <cdr:y>0.507</cdr:y>
    </cdr:from>
    <cdr:to>
      <cdr:x>0.75902</cdr:x>
      <cdr:y>0.5907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81C6E9CE-3A41-4523-B587-D3A3FF2A6296}"/>
            </a:ext>
          </a:extLst>
        </cdr:cNvPr>
        <cdr:cNvSpPr txBox="1"/>
      </cdr:nvSpPr>
      <cdr:spPr>
        <a:xfrm xmlns:a="http://schemas.openxmlformats.org/drawingml/2006/main">
          <a:off x="6546850" y="307721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0.72418</cdr:x>
      <cdr:y>0.47499</cdr:y>
    </cdr:from>
    <cdr:to>
      <cdr:x>0.77884</cdr:x>
      <cdr:y>0.55869</cdr:y>
    </cdr:to>
    <cdr:sp macro="" textlink="">
      <cdr:nvSpPr>
        <cdr:cNvPr id="24" name="TextBox 23">
          <a:extLst xmlns:a="http://schemas.openxmlformats.org/drawingml/2006/main">
            <a:ext uri="{FF2B5EF4-FFF2-40B4-BE49-F238E27FC236}">
              <a16:creationId xmlns:a16="http://schemas.microsoft.com/office/drawing/2014/main" id="{28F84E21-AD61-49F7-9C81-28800F82A997}"/>
            </a:ext>
          </a:extLst>
        </cdr:cNvPr>
        <cdr:cNvSpPr txBox="1"/>
      </cdr:nvSpPr>
      <cdr:spPr>
        <a:xfrm xmlns:a="http://schemas.openxmlformats.org/drawingml/2006/main">
          <a:off x="6731000" y="28829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0.74604</cdr:x>
      <cdr:y>0.44255</cdr:y>
    </cdr:from>
    <cdr:to>
      <cdr:x>0.8007</cdr:x>
      <cdr:y>0.52625</cdr:y>
    </cdr:to>
    <cdr:sp macro="" textlink="">
      <cdr:nvSpPr>
        <cdr:cNvPr id="25" name="TextBox 24">
          <a:extLst xmlns:a="http://schemas.openxmlformats.org/drawingml/2006/main">
            <a:ext uri="{FF2B5EF4-FFF2-40B4-BE49-F238E27FC236}">
              <a16:creationId xmlns:a16="http://schemas.microsoft.com/office/drawing/2014/main" id="{9A4DD53F-7AD4-49FA-938D-AC578FC9BFAC}"/>
            </a:ext>
          </a:extLst>
        </cdr:cNvPr>
        <cdr:cNvSpPr txBox="1"/>
      </cdr:nvSpPr>
      <cdr:spPr>
        <a:xfrm xmlns:a="http://schemas.openxmlformats.org/drawingml/2006/main">
          <a:off x="6934200" y="268605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0.76586</cdr:x>
      <cdr:y>0.41096</cdr:y>
    </cdr:from>
    <cdr:to>
      <cdr:x>0.82051</cdr:x>
      <cdr:y>0.49466</cdr:y>
    </cdr:to>
    <cdr:sp macro="" textlink="">
      <cdr:nvSpPr>
        <cdr:cNvPr id="26" name="TextBox 25">
          <a:extLst xmlns:a="http://schemas.openxmlformats.org/drawingml/2006/main">
            <a:ext uri="{FF2B5EF4-FFF2-40B4-BE49-F238E27FC236}">
              <a16:creationId xmlns:a16="http://schemas.microsoft.com/office/drawing/2014/main" id="{18993F62-6FBA-42B1-A321-BAAC93E5EEAB}"/>
            </a:ext>
          </a:extLst>
        </cdr:cNvPr>
        <cdr:cNvSpPr txBox="1"/>
      </cdr:nvSpPr>
      <cdr:spPr>
        <a:xfrm xmlns:a="http://schemas.openxmlformats.org/drawingml/2006/main">
          <a:off x="7118350" y="249428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0.63332</cdr:x>
      <cdr:y>0.63506</cdr:y>
    </cdr:from>
    <cdr:to>
      <cdr:x>0.68797</cdr:x>
      <cdr:y>0.71876</cdr:y>
    </cdr:to>
    <cdr:sp macro="" textlink="">
      <cdr:nvSpPr>
        <cdr:cNvPr id="27" name="TextBox 26">
          <a:extLst xmlns:a="http://schemas.openxmlformats.org/drawingml/2006/main">
            <a:ext uri="{FF2B5EF4-FFF2-40B4-BE49-F238E27FC236}">
              <a16:creationId xmlns:a16="http://schemas.microsoft.com/office/drawing/2014/main" id="{1A26978F-EA3E-4C8C-935D-0B0B68171454}"/>
            </a:ext>
          </a:extLst>
        </cdr:cNvPr>
        <cdr:cNvSpPr txBox="1"/>
      </cdr:nvSpPr>
      <cdr:spPr>
        <a:xfrm xmlns:a="http://schemas.openxmlformats.org/drawingml/2006/main">
          <a:off x="5886450" y="385445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/>
            <a:t>0</a:t>
          </a:r>
        </a:p>
      </cdr:txBody>
    </cdr:sp>
  </cdr:relSizeAnchor>
  <cdr:relSizeAnchor xmlns:cdr="http://schemas.openxmlformats.org/drawingml/2006/chartDrawing">
    <cdr:from>
      <cdr:x>0.6545</cdr:x>
      <cdr:y>0.60305</cdr:y>
    </cdr:from>
    <cdr:to>
      <cdr:x>0.70915</cdr:x>
      <cdr:y>0.68674</cdr:y>
    </cdr:to>
    <cdr:sp macro="" textlink="">
      <cdr:nvSpPr>
        <cdr:cNvPr id="28" name="TextBox 27">
          <a:extLst xmlns:a="http://schemas.openxmlformats.org/drawingml/2006/main">
            <a:ext uri="{FF2B5EF4-FFF2-40B4-BE49-F238E27FC236}">
              <a16:creationId xmlns:a16="http://schemas.microsoft.com/office/drawing/2014/main" id="{ED3352DD-0581-4984-A36B-0147F36163A6}"/>
            </a:ext>
          </a:extLst>
        </cdr:cNvPr>
        <cdr:cNvSpPr txBox="1"/>
      </cdr:nvSpPr>
      <cdr:spPr>
        <a:xfrm xmlns:a="http://schemas.openxmlformats.org/drawingml/2006/main">
          <a:off x="6083300" y="366014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/>
            <a:t>100</a:t>
          </a:r>
        </a:p>
      </cdr:txBody>
    </cdr:sp>
  </cdr:relSizeAnchor>
  <cdr:relSizeAnchor xmlns:cdr="http://schemas.openxmlformats.org/drawingml/2006/chartDrawing">
    <cdr:from>
      <cdr:x>0.67595</cdr:x>
      <cdr:y>0.57103</cdr:y>
    </cdr:from>
    <cdr:to>
      <cdr:x>0.7306</cdr:x>
      <cdr:y>0.65473</cdr:y>
    </cdr:to>
    <cdr:sp macro="" textlink="">
      <cdr:nvSpPr>
        <cdr:cNvPr id="29" name="TextBox 28">
          <a:extLst xmlns:a="http://schemas.openxmlformats.org/drawingml/2006/main">
            <a:ext uri="{FF2B5EF4-FFF2-40B4-BE49-F238E27FC236}">
              <a16:creationId xmlns:a16="http://schemas.microsoft.com/office/drawing/2014/main" id="{0F28A3D2-0059-41C1-8D02-77A7F13F15C9}"/>
            </a:ext>
          </a:extLst>
        </cdr:cNvPr>
        <cdr:cNvSpPr txBox="1"/>
      </cdr:nvSpPr>
      <cdr:spPr>
        <a:xfrm xmlns:a="http://schemas.openxmlformats.org/drawingml/2006/main">
          <a:off x="6282690" y="346583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/>
            <a:t>200</a:t>
          </a:r>
        </a:p>
      </cdr:txBody>
    </cdr:sp>
  </cdr:relSizeAnchor>
  <cdr:relSizeAnchor xmlns:cdr="http://schemas.openxmlformats.org/drawingml/2006/chartDrawing">
    <cdr:from>
      <cdr:x>0.69617</cdr:x>
      <cdr:y>0.53902</cdr:y>
    </cdr:from>
    <cdr:to>
      <cdr:x>0.75083</cdr:x>
      <cdr:y>0.62272</cdr:y>
    </cdr:to>
    <cdr:sp macro="" textlink="">
      <cdr:nvSpPr>
        <cdr:cNvPr id="30" name="TextBox 29">
          <a:extLst xmlns:a="http://schemas.openxmlformats.org/drawingml/2006/main">
            <a:ext uri="{FF2B5EF4-FFF2-40B4-BE49-F238E27FC236}">
              <a16:creationId xmlns:a16="http://schemas.microsoft.com/office/drawing/2014/main" id="{09A371C6-839A-4DC9-98FA-EEF6CA2D3406}"/>
            </a:ext>
          </a:extLst>
        </cdr:cNvPr>
        <cdr:cNvSpPr txBox="1"/>
      </cdr:nvSpPr>
      <cdr:spPr>
        <a:xfrm xmlns:a="http://schemas.openxmlformats.org/drawingml/2006/main">
          <a:off x="6470650" y="327152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/>
            <a:t>300</a:t>
          </a:r>
        </a:p>
      </cdr:txBody>
    </cdr:sp>
  </cdr:relSizeAnchor>
  <cdr:relSizeAnchor xmlns:cdr="http://schemas.openxmlformats.org/drawingml/2006/chartDrawing">
    <cdr:from>
      <cdr:x>0.71803</cdr:x>
      <cdr:y>0.507</cdr:y>
    </cdr:from>
    <cdr:to>
      <cdr:x>0.77269</cdr:x>
      <cdr:y>0.5907</cdr:y>
    </cdr:to>
    <cdr:sp macro="" textlink="">
      <cdr:nvSpPr>
        <cdr:cNvPr id="31" name="TextBox 30">
          <a:extLst xmlns:a="http://schemas.openxmlformats.org/drawingml/2006/main">
            <a:ext uri="{FF2B5EF4-FFF2-40B4-BE49-F238E27FC236}">
              <a16:creationId xmlns:a16="http://schemas.microsoft.com/office/drawing/2014/main" id="{766EB316-1AE3-4176-995D-1A1F8A9CB7EC}"/>
            </a:ext>
          </a:extLst>
        </cdr:cNvPr>
        <cdr:cNvSpPr txBox="1"/>
      </cdr:nvSpPr>
      <cdr:spPr>
        <a:xfrm xmlns:a="http://schemas.openxmlformats.org/drawingml/2006/main">
          <a:off x="6673850" y="307721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/>
            <a:t>400</a:t>
          </a:r>
        </a:p>
      </cdr:txBody>
    </cdr:sp>
  </cdr:relSizeAnchor>
  <cdr:relSizeAnchor xmlns:cdr="http://schemas.openxmlformats.org/drawingml/2006/chartDrawing">
    <cdr:from>
      <cdr:x>0.73785</cdr:x>
      <cdr:y>0.47499</cdr:y>
    </cdr:from>
    <cdr:to>
      <cdr:x>0.7925</cdr:x>
      <cdr:y>0.55869</cdr:y>
    </cdr:to>
    <cdr:sp macro="" textlink="">
      <cdr:nvSpPr>
        <cdr:cNvPr id="32" name="TextBox 31">
          <a:extLst xmlns:a="http://schemas.openxmlformats.org/drawingml/2006/main">
            <a:ext uri="{FF2B5EF4-FFF2-40B4-BE49-F238E27FC236}">
              <a16:creationId xmlns:a16="http://schemas.microsoft.com/office/drawing/2014/main" id="{54ACB761-2711-45E8-ACE4-A55020CBF459}"/>
            </a:ext>
          </a:extLst>
        </cdr:cNvPr>
        <cdr:cNvSpPr txBox="1"/>
      </cdr:nvSpPr>
      <cdr:spPr>
        <a:xfrm xmlns:a="http://schemas.openxmlformats.org/drawingml/2006/main">
          <a:off x="6858000" y="28829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/>
            <a:t>500</a:t>
          </a:r>
        </a:p>
      </cdr:txBody>
    </cdr:sp>
  </cdr:relSizeAnchor>
  <cdr:relSizeAnchor xmlns:cdr="http://schemas.openxmlformats.org/drawingml/2006/chartDrawing">
    <cdr:from>
      <cdr:x>0.75971</cdr:x>
      <cdr:y>0.44255</cdr:y>
    </cdr:from>
    <cdr:to>
      <cdr:x>0.81436</cdr:x>
      <cdr:y>0.52625</cdr:y>
    </cdr:to>
    <cdr:sp macro="" textlink="">
      <cdr:nvSpPr>
        <cdr:cNvPr id="33" name="TextBox 32">
          <a:extLst xmlns:a="http://schemas.openxmlformats.org/drawingml/2006/main">
            <a:ext uri="{FF2B5EF4-FFF2-40B4-BE49-F238E27FC236}">
              <a16:creationId xmlns:a16="http://schemas.microsoft.com/office/drawing/2014/main" id="{48506AC5-0137-4FF2-90FF-78B3EE8DC17B}"/>
            </a:ext>
          </a:extLst>
        </cdr:cNvPr>
        <cdr:cNvSpPr txBox="1"/>
      </cdr:nvSpPr>
      <cdr:spPr>
        <a:xfrm xmlns:a="http://schemas.openxmlformats.org/drawingml/2006/main">
          <a:off x="7061200" y="268605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/>
            <a:t>600</a:t>
          </a:r>
        </a:p>
      </cdr:txBody>
    </cdr:sp>
  </cdr:relSizeAnchor>
  <cdr:relSizeAnchor xmlns:cdr="http://schemas.openxmlformats.org/drawingml/2006/chartDrawing">
    <cdr:from>
      <cdr:x>0.77952</cdr:x>
      <cdr:y>0.41096</cdr:y>
    </cdr:from>
    <cdr:to>
      <cdr:x>0.83418</cdr:x>
      <cdr:y>0.49466</cdr:y>
    </cdr:to>
    <cdr:sp macro="" textlink="">
      <cdr:nvSpPr>
        <cdr:cNvPr id="34" name="TextBox 33">
          <a:extLst xmlns:a="http://schemas.openxmlformats.org/drawingml/2006/main">
            <a:ext uri="{FF2B5EF4-FFF2-40B4-BE49-F238E27FC236}">
              <a16:creationId xmlns:a16="http://schemas.microsoft.com/office/drawing/2014/main" id="{43BE40FE-79E4-4EF4-9C54-8121A32A2030}"/>
            </a:ext>
          </a:extLst>
        </cdr:cNvPr>
        <cdr:cNvSpPr txBox="1"/>
      </cdr:nvSpPr>
      <cdr:spPr>
        <a:xfrm xmlns:a="http://schemas.openxmlformats.org/drawingml/2006/main">
          <a:off x="7245350" y="249428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/>
            <a:t>700</a:t>
          </a:r>
        </a:p>
      </cdr:txBody>
    </cdr:sp>
  </cdr:relSizeAnchor>
  <cdr:relSizeAnchor xmlns:cdr="http://schemas.openxmlformats.org/drawingml/2006/chartDrawing">
    <cdr:from>
      <cdr:x>0.74536</cdr:x>
      <cdr:y>0.56141</cdr:y>
    </cdr:from>
    <cdr:to>
      <cdr:x>0.882</cdr:x>
      <cdr:y>0.77065</cdr:y>
    </cdr:to>
    <cdr:sp macro="" textlink="">
      <cdr:nvSpPr>
        <cdr:cNvPr id="35" name="TextBox 34">
          <a:extLst xmlns:a="http://schemas.openxmlformats.org/drawingml/2006/main">
            <a:ext uri="{FF2B5EF4-FFF2-40B4-BE49-F238E27FC236}">
              <a16:creationId xmlns:a16="http://schemas.microsoft.com/office/drawing/2014/main" id="{07E10C3D-9563-465B-A206-6F967A4B4324}"/>
            </a:ext>
          </a:extLst>
        </cdr:cNvPr>
        <cdr:cNvSpPr txBox="1"/>
      </cdr:nvSpPr>
      <cdr:spPr>
        <a:xfrm xmlns:a="http://schemas.openxmlformats.org/drawingml/2006/main">
          <a:off x="6927850" y="3407410"/>
          <a:ext cx="1270000" cy="127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 b="1"/>
            <a:t>Side-length [m]</a:t>
          </a:r>
        </a:p>
      </cdr:txBody>
    </cdr:sp>
  </cdr:relSizeAnchor>
  <cdr:relSizeAnchor xmlns:cdr="http://schemas.openxmlformats.org/drawingml/2006/chartDrawing">
    <cdr:from>
      <cdr:x>0.39352</cdr:x>
      <cdr:y>0.71876</cdr:y>
    </cdr:from>
    <cdr:to>
      <cdr:x>0.53016</cdr:x>
      <cdr:y>0.928</cdr:y>
    </cdr:to>
    <cdr:sp macro="" textlink="">
      <cdr:nvSpPr>
        <cdr:cNvPr id="36" name="TextBox 35">
          <a:extLst xmlns:a="http://schemas.openxmlformats.org/drawingml/2006/main">
            <a:ext uri="{FF2B5EF4-FFF2-40B4-BE49-F238E27FC236}">
              <a16:creationId xmlns:a16="http://schemas.microsoft.com/office/drawing/2014/main" id="{BE2D805D-FC7A-41C0-8309-E0C125314B1C}"/>
            </a:ext>
          </a:extLst>
        </cdr:cNvPr>
        <cdr:cNvSpPr txBox="1"/>
      </cdr:nvSpPr>
      <cdr:spPr>
        <a:xfrm xmlns:a="http://schemas.openxmlformats.org/drawingml/2006/main">
          <a:off x="3657600" y="4362450"/>
          <a:ext cx="1270000" cy="127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 b="1"/>
            <a:t>Side-length [m]</a:t>
          </a:r>
        </a:p>
      </cdr:txBody>
    </cdr:sp>
  </cdr:relSizeAnchor>
  <cdr:relSizeAnchor xmlns:cdr="http://schemas.openxmlformats.org/drawingml/2006/chartDrawing">
    <cdr:from>
      <cdr:x>0.25073</cdr:x>
      <cdr:y>0.42686</cdr:y>
    </cdr:from>
    <cdr:to>
      <cdr:x>0.38737</cdr:x>
      <cdr:y>0.63611</cdr:y>
    </cdr:to>
    <cdr:sp macro="" textlink="">
      <cdr:nvSpPr>
        <cdr:cNvPr id="37" name="TextBox 36">
          <a:extLst xmlns:a="http://schemas.openxmlformats.org/drawingml/2006/main">
            <a:ext uri="{FF2B5EF4-FFF2-40B4-BE49-F238E27FC236}">
              <a16:creationId xmlns:a16="http://schemas.microsoft.com/office/drawing/2014/main" id="{8882A99E-63B0-4585-A6F8-0539116CF434}"/>
            </a:ext>
          </a:extLst>
        </cdr:cNvPr>
        <cdr:cNvSpPr txBox="1"/>
      </cdr:nvSpPr>
      <cdr:spPr>
        <a:xfrm xmlns:a="http://schemas.openxmlformats.org/drawingml/2006/main">
          <a:off x="2330450" y="2590800"/>
          <a:ext cx="1270000" cy="127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725m</a:t>
          </a:r>
        </a:p>
      </cdr:txBody>
    </cdr:sp>
  </cdr:relSizeAnchor>
  <cdr:relSizeAnchor xmlns:cdr="http://schemas.openxmlformats.org/drawingml/2006/chartDrawing">
    <cdr:from>
      <cdr:x>0.55133</cdr:x>
      <cdr:y>0.30131</cdr:y>
    </cdr:from>
    <cdr:to>
      <cdr:x>0.68797</cdr:x>
      <cdr:y>0.51056</cdr:y>
    </cdr:to>
    <cdr:sp macro="" textlink="">
      <cdr:nvSpPr>
        <cdr:cNvPr id="38" name="TextBox 37">
          <a:extLst xmlns:a="http://schemas.openxmlformats.org/drawingml/2006/main">
            <a:ext uri="{FF2B5EF4-FFF2-40B4-BE49-F238E27FC236}">
              <a16:creationId xmlns:a16="http://schemas.microsoft.com/office/drawing/2014/main" id="{7F3D7F76-703E-4A4C-BF79-958BC7EB2470}"/>
            </a:ext>
          </a:extLst>
        </cdr:cNvPr>
        <cdr:cNvSpPr txBox="1"/>
      </cdr:nvSpPr>
      <cdr:spPr>
        <a:xfrm xmlns:a="http://schemas.openxmlformats.org/drawingml/2006/main">
          <a:off x="5124450" y="1828800"/>
          <a:ext cx="1270000" cy="127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725m</a:t>
          </a:r>
        </a:p>
      </cdr:txBody>
    </cdr:sp>
  </cdr:relSizeAnchor>
  <cdr:relSizeAnchor xmlns:cdr="http://schemas.openxmlformats.org/drawingml/2006/chartDrawing">
    <cdr:from>
      <cdr:x>0.21561</cdr:x>
      <cdr:y>0.63506</cdr:y>
    </cdr:from>
    <cdr:to>
      <cdr:x>0.27027</cdr:x>
      <cdr:y>0.71876</cdr:y>
    </cdr:to>
    <cdr:sp macro="" textlink="">
      <cdr:nvSpPr>
        <cdr:cNvPr id="39" name="TextBox 38">
          <a:extLst xmlns:a="http://schemas.openxmlformats.org/drawingml/2006/main">
            <a:ext uri="{FF2B5EF4-FFF2-40B4-BE49-F238E27FC236}">
              <a16:creationId xmlns:a16="http://schemas.microsoft.com/office/drawing/2014/main" id="{AE83994E-639B-44DD-9CBA-C9DE8AB39AEE}"/>
            </a:ext>
          </a:extLst>
        </cdr:cNvPr>
        <cdr:cNvSpPr txBox="1"/>
      </cdr:nvSpPr>
      <cdr:spPr>
        <a:xfrm xmlns:a="http://schemas.openxmlformats.org/drawingml/2006/main">
          <a:off x="2004060" y="385445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0.20291</cdr:x>
      <cdr:y>0.63506</cdr:y>
    </cdr:from>
    <cdr:to>
      <cdr:x>0.25756</cdr:x>
      <cdr:y>0.71876</cdr:y>
    </cdr:to>
    <cdr:sp macro="" textlink="">
      <cdr:nvSpPr>
        <cdr:cNvPr id="40" name="TextBox 39">
          <a:extLst xmlns:a="http://schemas.openxmlformats.org/drawingml/2006/main">
            <a:ext uri="{FF2B5EF4-FFF2-40B4-BE49-F238E27FC236}">
              <a16:creationId xmlns:a16="http://schemas.microsoft.com/office/drawing/2014/main" id="{30595208-B25C-4CA3-96F9-8EB5AD6D6244}"/>
            </a:ext>
          </a:extLst>
        </cdr:cNvPr>
        <cdr:cNvSpPr txBox="1"/>
      </cdr:nvSpPr>
      <cdr:spPr>
        <a:xfrm xmlns:a="http://schemas.openxmlformats.org/drawingml/2006/main">
          <a:off x="1885950" y="385445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/>
            <a:t>0</a:t>
          </a:r>
        </a:p>
      </cdr:txBody>
    </cdr:sp>
  </cdr:relSizeAnchor>
  <cdr:relSizeAnchor xmlns:cdr="http://schemas.openxmlformats.org/drawingml/2006/chartDrawing">
    <cdr:from>
      <cdr:x>0.21561</cdr:x>
      <cdr:y>0.57229</cdr:y>
    </cdr:from>
    <cdr:to>
      <cdr:x>0.27027</cdr:x>
      <cdr:y>0.65599</cdr:y>
    </cdr:to>
    <cdr:sp macro="" textlink="">
      <cdr:nvSpPr>
        <cdr:cNvPr id="41" name="TextBox 40">
          <a:extLst xmlns:a="http://schemas.openxmlformats.org/drawingml/2006/main">
            <a:ext uri="{FF2B5EF4-FFF2-40B4-BE49-F238E27FC236}">
              <a16:creationId xmlns:a16="http://schemas.microsoft.com/office/drawing/2014/main" id="{E37CDCD0-3C26-4F26-B12F-C4936C008A3A}"/>
            </a:ext>
          </a:extLst>
        </cdr:cNvPr>
        <cdr:cNvSpPr txBox="1"/>
      </cdr:nvSpPr>
      <cdr:spPr>
        <a:xfrm xmlns:a="http://schemas.openxmlformats.org/drawingml/2006/main">
          <a:off x="2004060" y="347345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0.20291</cdr:x>
      <cdr:y>0.57229</cdr:y>
    </cdr:from>
    <cdr:to>
      <cdr:x>0.25756</cdr:x>
      <cdr:y>0.65599</cdr:y>
    </cdr:to>
    <cdr:sp macro="" textlink="">
      <cdr:nvSpPr>
        <cdr:cNvPr id="42" name="TextBox 41">
          <a:extLst xmlns:a="http://schemas.openxmlformats.org/drawingml/2006/main">
            <a:ext uri="{FF2B5EF4-FFF2-40B4-BE49-F238E27FC236}">
              <a16:creationId xmlns:a16="http://schemas.microsoft.com/office/drawing/2014/main" id="{C6A6FE20-A50F-4E5A-8057-0B475EA2AEBC}"/>
            </a:ext>
          </a:extLst>
        </cdr:cNvPr>
        <cdr:cNvSpPr txBox="1"/>
      </cdr:nvSpPr>
      <cdr:spPr>
        <a:xfrm xmlns:a="http://schemas.openxmlformats.org/drawingml/2006/main">
          <a:off x="1885950" y="347345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/>
            <a:t>2</a:t>
          </a:r>
        </a:p>
      </cdr:txBody>
    </cdr:sp>
  </cdr:relSizeAnchor>
  <cdr:relSizeAnchor xmlns:cdr="http://schemas.openxmlformats.org/drawingml/2006/chartDrawing">
    <cdr:from>
      <cdr:x>0.12776</cdr:x>
      <cdr:y>0.60472</cdr:y>
    </cdr:from>
    <cdr:to>
      <cdr:x>0.26439</cdr:x>
      <cdr:y>0.81397</cdr:y>
    </cdr:to>
    <cdr:sp macro="" textlink="">
      <cdr:nvSpPr>
        <cdr:cNvPr id="43" name="TextBox 42">
          <a:extLst xmlns:a="http://schemas.openxmlformats.org/drawingml/2006/main">
            <a:ext uri="{FF2B5EF4-FFF2-40B4-BE49-F238E27FC236}">
              <a16:creationId xmlns:a16="http://schemas.microsoft.com/office/drawing/2014/main" id="{831643C8-5CD9-489D-8660-9A3032EF6A43}"/>
            </a:ext>
          </a:extLst>
        </cdr:cNvPr>
        <cdr:cNvSpPr txBox="1"/>
      </cdr:nvSpPr>
      <cdr:spPr>
        <a:xfrm xmlns:a="http://schemas.openxmlformats.org/drawingml/2006/main">
          <a:off x="1187450" y="3670300"/>
          <a:ext cx="1270000" cy="127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 b="1"/>
            <a:t>Depth [m]</a:t>
          </a:r>
        </a:p>
      </cdr:txBody>
    </cdr:sp>
  </cdr:relSizeAnchor>
  <cdr:relSizeAnchor xmlns:cdr="http://schemas.openxmlformats.org/drawingml/2006/chartDrawing">
    <cdr:from>
      <cdr:x>0.39625</cdr:x>
      <cdr:y>0.35363</cdr:y>
    </cdr:from>
    <cdr:to>
      <cdr:x>0.39625</cdr:x>
      <cdr:y>0.42058</cdr:y>
    </cdr:to>
    <cdr:cxnSp macro="">
      <cdr:nvCxnSpPr>
        <cdr:cNvPr id="44" name="Straight Connector 43">
          <a:extLst xmlns:a="http://schemas.openxmlformats.org/drawingml/2006/main">
            <a:ext uri="{FF2B5EF4-FFF2-40B4-BE49-F238E27FC236}">
              <a16:creationId xmlns:a16="http://schemas.microsoft.com/office/drawing/2014/main" id="{44082EAB-57CD-42E4-A062-2DDF7B209E93}"/>
            </a:ext>
          </a:extLst>
        </cdr:cNvPr>
        <cdr:cNvCxnSpPr/>
      </cdr:nvCxnSpPr>
      <cdr:spPr>
        <a:xfrm xmlns:a="http://schemas.openxmlformats.org/drawingml/2006/main">
          <a:off x="3683000" y="2146300"/>
          <a:ext cx="0" cy="40640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0.39625</cdr:x>
      <cdr:y>0.42058</cdr:y>
    </cdr:from>
    <cdr:to>
      <cdr:x>0.74058</cdr:x>
      <cdr:y>0.42058</cdr:y>
    </cdr:to>
    <cdr:cxnSp macro="">
      <cdr:nvCxnSpPr>
        <cdr:cNvPr id="45" name="Straight Connector 44">
          <a:extLst xmlns:a="http://schemas.openxmlformats.org/drawingml/2006/main">
            <a:ext uri="{FF2B5EF4-FFF2-40B4-BE49-F238E27FC236}">
              <a16:creationId xmlns:a16="http://schemas.microsoft.com/office/drawing/2014/main" id="{E094FC70-588E-49D1-9942-5609E20217CF}"/>
            </a:ext>
          </a:extLst>
        </cdr:cNvPr>
        <cdr:cNvCxnSpPr/>
      </cdr:nvCxnSpPr>
      <cdr:spPr>
        <a:xfrm xmlns:a="http://schemas.openxmlformats.org/drawingml/2006/main">
          <a:off x="3683000" y="2552700"/>
          <a:ext cx="3200400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0.23912</cdr:x>
      <cdr:y>0.42058</cdr:y>
    </cdr:from>
    <cdr:to>
      <cdr:x>0.39625</cdr:x>
      <cdr:y>0.66122</cdr:y>
    </cdr:to>
    <cdr:cxnSp macro="">
      <cdr:nvCxnSpPr>
        <cdr:cNvPr id="46" name="Straight Connector 45">
          <a:extLst xmlns:a="http://schemas.openxmlformats.org/drawingml/2006/main">
            <a:ext uri="{FF2B5EF4-FFF2-40B4-BE49-F238E27FC236}">
              <a16:creationId xmlns:a16="http://schemas.microsoft.com/office/drawing/2014/main" id="{14A4FE20-F8AD-4B6D-8A5C-962F0C43251C}"/>
            </a:ext>
          </a:extLst>
        </cdr:cNvPr>
        <cdr:cNvCxnSpPr/>
      </cdr:nvCxnSpPr>
      <cdr:spPr>
        <a:xfrm xmlns:a="http://schemas.openxmlformats.org/drawingml/2006/main" flipH="1">
          <a:off x="2222500" y="2552700"/>
          <a:ext cx="1460500" cy="146050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rgbClr val="000000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4628" cy="606941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FA7944-0F8A-46F9-816B-14F0791093B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76522" cy="602973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810F30-36D8-4311-82E7-C2E178419C4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0.23775</cdr:x>
      <cdr:y>0.11299</cdr:y>
    </cdr:from>
    <cdr:to>
      <cdr:x>0.72965</cdr:x>
      <cdr:y>0.86628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F13C3D8F-2B8A-4322-AA94-975F2E016991}"/>
            </a:ext>
          </a:extLst>
        </cdr:cNvPr>
        <cdr:cNvSpPr/>
      </cdr:nvSpPr>
      <cdr:spPr>
        <a:xfrm xmlns:a="http://schemas.openxmlformats.org/drawingml/2006/main">
          <a:off x="2209800" y="685800"/>
          <a:ext cx="4572000" cy="4572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0.65396</cdr:x>
      <cdr:y>0.11387</cdr:y>
    </cdr:from>
    <cdr:to>
      <cdr:x>0.68065</cdr:x>
      <cdr:y>0.85985</cdr:y>
    </cdr:to>
    <cdr:sp macro="" textlink="">
      <cdr:nvSpPr>
        <cdr:cNvPr id="41" name="Right Triangle 40">
          <a:extLst xmlns:a="http://schemas.openxmlformats.org/drawingml/2006/main">
            <a:ext uri="{FF2B5EF4-FFF2-40B4-BE49-F238E27FC236}">
              <a16:creationId xmlns:a16="http://schemas.microsoft.com/office/drawing/2014/main" id="{80CD34E9-09E6-42A5-926A-8FE79B404716}"/>
            </a:ext>
          </a:extLst>
        </cdr:cNvPr>
        <cdr:cNvSpPr/>
      </cdr:nvSpPr>
      <cdr:spPr>
        <a:xfrm xmlns:a="http://schemas.openxmlformats.org/drawingml/2006/main" rot="10800000" flipH="1">
          <a:off x="6078278" y="691116"/>
          <a:ext cx="248094" cy="4527698"/>
        </a:xfrm>
        <a:prstGeom xmlns:a="http://schemas.openxmlformats.org/drawingml/2006/main" prst="rtTriangle">
          <a:avLst/>
        </a:prstGeom>
        <a:solidFill xmlns:a="http://schemas.openxmlformats.org/drawingml/2006/main">
          <a:schemeClr val="accent6">
            <a:lumMod val="40000"/>
            <a:lumOff val="60000"/>
          </a:schemeClr>
        </a:solidFill>
      </cdr:spPr>
      <cdr:style>
        <a:lnRef xmlns:a="http://schemas.openxmlformats.org/drawingml/2006/main" idx="2">
          <a:schemeClr val="accent6">
            <a:shade val="50000"/>
          </a:schemeClr>
        </a:lnRef>
        <a:fillRef xmlns:a="http://schemas.openxmlformats.org/drawingml/2006/main" idx="1">
          <a:schemeClr val="accent6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0.653</cdr:x>
      <cdr:y>0.11387</cdr:y>
    </cdr:from>
    <cdr:to>
      <cdr:x>0.72831</cdr:x>
      <cdr:y>0.86569</cdr:y>
    </cdr:to>
    <cdr:sp macro="" textlink="">
      <cdr:nvSpPr>
        <cdr:cNvPr id="50" name="Freeform: Shape 49">
          <a:extLst xmlns:a="http://schemas.openxmlformats.org/drawingml/2006/main">
            <a:ext uri="{FF2B5EF4-FFF2-40B4-BE49-F238E27FC236}">
              <a16:creationId xmlns:a16="http://schemas.microsoft.com/office/drawing/2014/main" id="{E5F6C983-D1C4-49FB-ADF6-0203B4D9BB46}"/>
            </a:ext>
          </a:extLst>
        </cdr:cNvPr>
        <cdr:cNvSpPr/>
      </cdr:nvSpPr>
      <cdr:spPr>
        <a:xfrm xmlns:a="http://schemas.openxmlformats.org/drawingml/2006/main">
          <a:off x="6069419" y="691116"/>
          <a:ext cx="699976" cy="4563140"/>
        </a:xfrm>
        <a:custGeom xmlns:a="http://schemas.openxmlformats.org/drawingml/2006/main">
          <a:avLst/>
          <a:gdLst>
            <a:gd name="connsiteX0" fmla="*/ 256953 w 699976"/>
            <a:gd name="connsiteY0" fmla="*/ 0 h 4563140"/>
            <a:gd name="connsiteX1" fmla="*/ 699976 w 699976"/>
            <a:gd name="connsiteY1" fmla="*/ 0 h 4563140"/>
            <a:gd name="connsiteX2" fmla="*/ 381000 w 699976"/>
            <a:gd name="connsiteY2" fmla="*/ 4563140 h 4563140"/>
            <a:gd name="connsiteX3" fmla="*/ 0 w 699976"/>
            <a:gd name="connsiteY3" fmla="*/ 4563140 h 4563140"/>
            <a:gd name="connsiteX4" fmla="*/ 256953 w 699976"/>
            <a:gd name="connsiteY4" fmla="*/ 0 h 456314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699976" h="4563140">
              <a:moveTo>
                <a:pt x="256953" y="0"/>
              </a:moveTo>
              <a:lnTo>
                <a:pt x="699976" y="0"/>
              </a:lnTo>
              <a:lnTo>
                <a:pt x="381000" y="4563140"/>
              </a:lnTo>
              <a:lnTo>
                <a:pt x="0" y="4563140"/>
              </a:lnTo>
              <a:lnTo>
                <a:pt x="256953" y="0"/>
              </a:lnTo>
              <a:close/>
            </a:path>
          </a:pathLst>
        </a:custGeom>
        <a:solidFill xmlns:a="http://schemas.openxmlformats.org/drawingml/2006/main">
          <a:schemeClr val="accent4">
            <a:lumMod val="40000"/>
            <a:lumOff val="60000"/>
          </a:schemeClr>
        </a:solidFill>
      </cdr:spPr>
      <cdr:style>
        <a:lnRef xmlns:a="http://schemas.openxmlformats.org/drawingml/2006/main" idx="2">
          <a:schemeClr val="accent4">
            <a:shade val="50000"/>
          </a:schemeClr>
        </a:lnRef>
        <a:fillRef xmlns:a="http://schemas.openxmlformats.org/drawingml/2006/main" idx="1">
          <a:schemeClr val="accent4"/>
        </a:fillRef>
        <a:effectRef xmlns:a="http://schemas.openxmlformats.org/drawingml/2006/main" idx="0">
          <a:schemeClr val="accent4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0.38608</cdr:x>
      <cdr:y>0.11387</cdr:y>
    </cdr:from>
    <cdr:to>
      <cdr:x>0.653</cdr:x>
      <cdr:y>0.86569</cdr:y>
    </cdr:to>
    <cdr:sp macro="" textlink="">
      <cdr:nvSpPr>
        <cdr:cNvPr id="36" name="Rectangle 35">
          <a:extLst xmlns:a="http://schemas.openxmlformats.org/drawingml/2006/main">
            <a:ext uri="{FF2B5EF4-FFF2-40B4-BE49-F238E27FC236}">
              <a16:creationId xmlns:a16="http://schemas.microsoft.com/office/drawing/2014/main" id="{FDA3C556-BD51-4F0C-881D-0383C62CA4DF}"/>
            </a:ext>
          </a:extLst>
        </cdr:cNvPr>
        <cdr:cNvSpPr/>
      </cdr:nvSpPr>
      <cdr:spPr>
        <a:xfrm xmlns:a="http://schemas.openxmlformats.org/drawingml/2006/main">
          <a:off x="3588487" y="691116"/>
          <a:ext cx="2480931" cy="456314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lumMod val="40000"/>
            <a:lumOff val="60000"/>
          </a:scheme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0.23642</cdr:x>
      <cdr:y>0.11241</cdr:y>
    </cdr:from>
    <cdr:to>
      <cdr:x>0.38704</cdr:x>
      <cdr:y>0.86569</cdr:y>
    </cdr:to>
    <cdr:sp macro="" textlink="">
      <cdr:nvSpPr>
        <cdr:cNvPr id="35" name="Rectangle 34">
          <a:extLst xmlns:a="http://schemas.openxmlformats.org/drawingml/2006/main">
            <a:ext uri="{FF2B5EF4-FFF2-40B4-BE49-F238E27FC236}">
              <a16:creationId xmlns:a16="http://schemas.microsoft.com/office/drawing/2014/main" id="{AE6B203F-A2A1-43D1-AE0C-EA6249B069BB}"/>
            </a:ext>
          </a:extLst>
        </cdr:cNvPr>
        <cdr:cNvSpPr/>
      </cdr:nvSpPr>
      <cdr:spPr>
        <a:xfrm xmlns:a="http://schemas.openxmlformats.org/drawingml/2006/main">
          <a:off x="2197395" y="682256"/>
          <a:ext cx="1399954" cy="45720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2">
            <a:lumMod val="40000"/>
            <a:lumOff val="60000"/>
          </a:scheme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0.68319</cdr:x>
      <cdr:y>0.83071</cdr:y>
    </cdr:from>
    <cdr:to>
      <cdr:x>0.73785</cdr:x>
      <cdr:y>0.9144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2D696306-7F38-41D2-AF4B-2F07288EF27D}"/>
            </a:ext>
          </a:extLst>
        </cdr:cNvPr>
        <cdr:cNvSpPr txBox="1"/>
      </cdr:nvSpPr>
      <cdr:spPr>
        <a:xfrm xmlns:a="http://schemas.openxmlformats.org/drawingml/2006/main">
          <a:off x="6350000" y="50419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0.6176</cdr:x>
      <cdr:y>0.83071</cdr:y>
    </cdr:from>
    <cdr:to>
      <cdr:x>0.67226</cdr:x>
      <cdr:y>0.9144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A88D0242-C4F9-46BB-939E-D19B3BCB861A}"/>
            </a:ext>
          </a:extLst>
        </cdr:cNvPr>
        <cdr:cNvSpPr txBox="1"/>
      </cdr:nvSpPr>
      <cdr:spPr>
        <a:xfrm xmlns:a="http://schemas.openxmlformats.org/drawingml/2006/main">
          <a:off x="5740400" y="50419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0.55202</cdr:x>
      <cdr:y>0.83071</cdr:y>
    </cdr:from>
    <cdr:to>
      <cdr:x>0.60667</cdr:x>
      <cdr:y>0.9144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3982CBA4-1A97-4103-AB00-E62F56BD305D}"/>
            </a:ext>
          </a:extLst>
        </cdr:cNvPr>
        <cdr:cNvSpPr txBox="1"/>
      </cdr:nvSpPr>
      <cdr:spPr>
        <a:xfrm xmlns:a="http://schemas.openxmlformats.org/drawingml/2006/main">
          <a:off x="5130800" y="50419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0.48643</cdr:x>
      <cdr:y>0.83071</cdr:y>
    </cdr:from>
    <cdr:to>
      <cdr:x>0.54109</cdr:x>
      <cdr:y>0.9144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EE1F3E71-B6CE-4283-A4B0-E7B707C03122}"/>
            </a:ext>
          </a:extLst>
        </cdr:cNvPr>
        <cdr:cNvSpPr txBox="1"/>
      </cdr:nvSpPr>
      <cdr:spPr>
        <a:xfrm xmlns:a="http://schemas.openxmlformats.org/drawingml/2006/main">
          <a:off x="4521200" y="50419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0.42085</cdr:x>
      <cdr:y>0.83071</cdr:y>
    </cdr:from>
    <cdr:to>
      <cdr:x>0.4755</cdr:x>
      <cdr:y>0.9144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3438CC85-151B-498A-AE29-F46378C1D943}"/>
            </a:ext>
          </a:extLst>
        </cdr:cNvPr>
        <cdr:cNvSpPr txBox="1"/>
      </cdr:nvSpPr>
      <cdr:spPr>
        <a:xfrm xmlns:a="http://schemas.openxmlformats.org/drawingml/2006/main">
          <a:off x="3911600" y="50419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0.35526</cdr:x>
      <cdr:y>0.83071</cdr:y>
    </cdr:from>
    <cdr:to>
      <cdr:x>0.40991</cdr:x>
      <cdr:y>0.9144</cdr:y>
    </cdr:to>
    <cdr:sp macro="" textlink="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B012D4E7-1088-480C-8C22-D3C683CCF4E9}"/>
            </a:ext>
          </a:extLst>
        </cdr:cNvPr>
        <cdr:cNvSpPr txBox="1"/>
      </cdr:nvSpPr>
      <cdr:spPr>
        <a:xfrm xmlns:a="http://schemas.openxmlformats.org/drawingml/2006/main">
          <a:off x="3302000" y="50419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0.28967</cdr:x>
      <cdr:y>0.83071</cdr:y>
    </cdr:from>
    <cdr:to>
      <cdr:x>0.34433</cdr:x>
      <cdr:y>0.9144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B37076E1-6782-4CEE-94F9-128A52B5E31A}"/>
            </a:ext>
          </a:extLst>
        </cdr:cNvPr>
        <cdr:cNvSpPr txBox="1"/>
      </cdr:nvSpPr>
      <cdr:spPr>
        <a:xfrm xmlns:a="http://schemas.openxmlformats.org/drawingml/2006/main">
          <a:off x="2692400" y="50419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0.22409</cdr:x>
      <cdr:y>0.83071</cdr:y>
    </cdr:from>
    <cdr:to>
      <cdr:x>0.27874</cdr:x>
      <cdr:y>0.9144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7967A187-A147-4EC4-A2E3-08295F4E966B}"/>
            </a:ext>
          </a:extLst>
        </cdr:cNvPr>
        <cdr:cNvSpPr txBox="1"/>
      </cdr:nvSpPr>
      <cdr:spPr>
        <a:xfrm xmlns:a="http://schemas.openxmlformats.org/drawingml/2006/main">
          <a:off x="2082800" y="50419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0.67772</cdr:x>
      <cdr:y>0.86628</cdr:y>
    </cdr:from>
    <cdr:to>
      <cdr:x>0.73238</cdr:x>
      <cdr:y>0.94998</cdr:y>
    </cdr:to>
    <cdr:sp macro="" textlink="">
      <cdr:nvSpPr>
        <cdr:cNvPr id="11" name="TextBox 10">
          <a:extLst xmlns:a="http://schemas.openxmlformats.org/drawingml/2006/main">
            <a:ext uri="{FF2B5EF4-FFF2-40B4-BE49-F238E27FC236}">
              <a16:creationId xmlns:a16="http://schemas.microsoft.com/office/drawing/2014/main" id="{FAB406AA-7C38-4BF4-98D5-D625B85CF34E}"/>
            </a:ext>
          </a:extLst>
        </cdr:cNvPr>
        <cdr:cNvSpPr txBox="1"/>
      </cdr:nvSpPr>
      <cdr:spPr>
        <a:xfrm xmlns:a="http://schemas.openxmlformats.org/drawingml/2006/main">
          <a:off x="6299200" y="52578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700</a:t>
          </a:r>
        </a:p>
      </cdr:txBody>
    </cdr:sp>
  </cdr:relSizeAnchor>
  <cdr:relSizeAnchor xmlns:cdr="http://schemas.openxmlformats.org/drawingml/2006/chartDrawing">
    <cdr:from>
      <cdr:x>0.61214</cdr:x>
      <cdr:y>0.86628</cdr:y>
    </cdr:from>
    <cdr:to>
      <cdr:x>0.66679</cdr:x>
      <cdr:y>0.94998</cdr:y>
    </cdr:to>
    <cdr:sp macro="" textlink="">
      <cdr:nvSpPr>
        <cdr:cNvPr id="12" name="TextBox 11">
          <a:extLst xmlns:a="http://schemas.openxmlformats.org/drawingml/2006/main">
            <a:ext uri="{FF2B5EF4-FFF2-40B4-BE49-F238E27FC236}">
              <a16:creationId xmlns:a16="http://schemas.microsoft.com/office/drawing/2014/main" id="{8CED8B17-088F-4FE5-8DD5-3EEE1EEF5E84}"/>
            </a:ext>
          </a:extLst>
        </cdr:cNvPr>
        <cdr:cNvSpPr txBox="1"/>
      </cdr:nvSpPr>
      <cdr:spPr>
        <a:xfrm xmlns:a="http://schemas.openxmlformats.org/drawingml/2006/main">
          <a:off x="5689600" y="52578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600</a:t>
          </a:r>
        </a:p>
      </cdr:txBody>
    </cdr:sp>
  </cdr:relSizeAnchor>
  <cdr:relSizeAnchor xmlns:cdr="http://schemas.openxmlformats.org/drawingml/2006/chartDrawing">
    <cdr:from>
      <cdr:x>0.54655</cdr:x>
      <cdr:y>0.86628</cdr:y>
    </cdr:from>
    <cdr:to>
      <cdr:x>0.60121</cdr:x>
      <cdr:y>0.94998</cdr:y>
    </cdr:to>
    <cdr:sp macro="" textlink="">
      <cdr:nvSpPr>
        <cdr:cNvPr id="13" name="TextBox 12">
          <a:extLst xmlns:a="http://schemas.openxmlformats.org/drawingml/2006/main">
            <a:ext uri="{FF2B5EF4-FFF2-40B4-BE49-F238E27FC236}">
              <a16:creationId xmlns:a16="http://schemas.microsoft.com/office/drawing/2014/main" id="{6EF06DAA-58C7-4301-9A08-6BD36DC231B3}"/>
            </a:ext>
          </a:extLst>
        </cdr:cNvPr>
        <cdr:cNvSpPr txBox="1"/>
      </cdr:nvSpPr>
      <cdr:spPr>
        <a:xfrm xmlns:a="http://schemas.openxmlformats.org/drawingml/2006/main">
          <a:off x="5080000" y="52578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500</a:t>
          </a:r>
        </a:p>
      </cdr:txBody>
    </cdr:sp>
  </cdr:relSizeAnchor>
  <cdr:relSizeAnchor xmlns:cdr="http://schemas.openxmlformats.org/drawingml/2006/chartDrawing">
    <cdr:from>
      <cdr:x>0.48097</cdr:x>
      <cdr:y>0.86628</cdr:y>
    </cdr:from>
    <cdr:to>
      <cdr:x>0.53562</cdr:x>
      <cdr:y>0.94998</cdr:y>
    </cdr:to>
    <cdr:sp macro="" textlink="">
      <cdr:nvSpPr>
        <cdr:cNvPr id="14" name="TextBox 13">
          <a:extLst xmlns:a="http://schemas.openxmlformats.org/drawingml/2006/main">
            <a:ext uri="{FF2B5EF4-FFF2-40B4-BE49-F238E27FC236}">
              <a16:creationId xmlns:a16="http://schemas.microsoft.com/office/drawing/2014/main" id="{BC194E13-2494-47F1-B493-87CE48ADACB7}"/>
            </a:ext>
          </a:extLst>
        </cdr:cNvPr>
        <cdr:cNvSpPr txBox="1"/>
      </cdr:nvSpPr>
      <cdr:spPr>
        <a:xfrm xmlns:a="http://schemas.openxmlformats.org/drawingml/2006/main">
          <a:off x="4470400" y="52578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400</a:t>
          </a:r>
        </a:p>
      </cdr:txBody>
    </cdr:sp>
  </cdr:relSizeAnchor>
  <cdr:relSizeAnchor xmlns:cdr="http://schemas.openxmlformats.org/drawingml/2006/chartDrawing">
    <cdr:from>
      <cdr:x>0.41265</cdr:x>
      <cdr:y>0.86628</cdr:y>
    </cdr:from>
    <cdr:to>
      <cdr:x>0.4673</cdr:x>
      <cdr:y>0.94998</cdr:y>
    </cdr:to>
    <cdr:sp macro="" textlink="">
      <cdr:nvSpPr>
        <cdr:cNvPr id="15" name="TextBox 14">
          <a:extLst xmlns:a="http://schemas.openxmlformats.org/drawingml/2006/main">
            <a:ext uri="{FF2B5EF4-FFF2-40B4-BE49-F238E27FC236}">
              <a16:creationId xmlns:a16="http://schemas.microsoft.com/office/drawing/2014/main" id="{B46995CA-95F5-4A80-B7D8-B07F814BF691}"/>
            </a:ext>
          </a:extLst>
        </cdr:cNvPr>
        <cdr:cNvSpPr txBox="1"/>
      </cdr:nvSpPr>
      <cdr:spPr>
        <a:xfrm xmlns:a="http://schemas.openxmlformats.org/drawingml/2006/main">
          <a:off x="3835400" y="52578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300</a:t>
          </a:r>
        </a:p>
      </cdr:txBody>
    </cdr:sp>
  </cdr:relSizeAnchor>
  <cdr:relSizeAnchor xmlns:cdr="http://schemas.openxmlformats.org/drawingml/2006/chartDrawing">
    <cdr:from>
      <cdr:x>0.34979</cdr:x>
      <cdr:y>0.86628</cdr:y>
    </cdr:from>
    <cdr:to>
      <cdr:x>0.40445</cdr:x>
      <cdr:y>0.94998</cdr:y>
    </cdr:to>
    <cdr:sp macro="" textlink="">
      <cdr:nvSpPr>
        <cdr:cNvPr id="16" name="TextBox 15">
          <a:extLst xmlns:a="http://schemas.openxmlformats.org/drawingml/2006/main">
            <a:ext uri="{FF2B5EF4-FFF2-40B4-BE49-F238E27FC236}">
              <a16:creationId xmlns:a16="http://schemas.microsoft.com/office/drawing/2014/main" id="{CC8193FE-C540-4453-92C6-2189FB6310F5}"/>
            </a:ext>
          </a:extLst>
        </cdr:cNvPr>
        <cdr:cNvSpPr txBox="1"/>
      </cdr:nvSpPr>
      <cdr:spPr>
        <a:xfrm xmlns:a="http://schemas.openxmlformats.org/drawingml/2006/main">
          <a:off x="3251200" y="52578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200</a:t>
          </a:r>
        </a:p>
      </cdr:txBody>
    </cdr:sp>
  </cdr:relSizeAnchor>
  <cdr:relSizeAnchor xmlns:cdr="http://schemas.openxmlformats.org/drawingml/2006/chartDrawing">
    <cdr:from>
      <cdr:x>0.28421</cdr:x>
      <cdr:y>0.86628</cdr:y>
    </cdr:from>
    <cdr:to>
      <cdr:x>0.33886</cdr:x>
      <cdr:y>0.94998</cdr:y>
    </cdr:to>
    <cdr:sp macro="" textlink="">
      <cdr:nvSpPr>
        <cdr:cNvPr id="17" name="TextBox 16">
          <a:extLst xmlns:a="http://schemas.openxmlformats.org/drawingml/2006/main">
            <a:ext uri="{FF2B5EF4-FFF2-40B4-BE49-F238E27FC236}">
              <a16:creationId xmlns:a16="http://schemas.microsoft.com/office/drawing/2014/main" id="{E90702C4-94F9-4B9D-BB83-F066EA8450C5}"/>
            </a:ext>
          </a:extLst>
        </cdr:cNvPr>
        <cdr:cNvSpPr txBox="1"/>
      </cdr:nvSpPr>
      <cdr:spPr>
        <a:xfrm xmlns:a="http://schemas.openxmlformats.org/drawingml/2006/main">
          <a:off x="2641600" y="52578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100</a:t>
          </a:r>
        </a:p>
      </cdr:txBody>
    </cdr:sp>
  </cdr:relSizeAnchor>
  <cdr:relSizeAnchor xmlns:cdr="http://schemas.openxmlformats.org/drawingml/2006/chartDrawing">
    <cdr:from>
      <cdr:x>0.22409</cdr:x>
      <cdr:y>0.86628</cdr:y>
    </cdr:from>
    <cdr:to>
      <cdr:x>0.27874</cdr:x>
      <cdr:y>0.94998</cdr:y>
    </cdr:to>
    <cdr:sp macro="" textlink="">
      <cdr:nvSpPr>
        <cdr:cNvPr id="18" name="TextBox 17">
          <a:extLst xmlns:a="http://schemas.openxmlformats.org/drawingml/2006/main">
            <a:ext uri="{FF2B5EF4-FFF2-40B4-BE49-F238E27FC236}">
              <a16:creationId xmlns:a16="http://schemas.microsoft.com/office/drawing/2014/main" id="{44F1D0C8-E871-4D05-BE41-4137043AABEA}"/>
            </a:ext>
          </a:extLst>
        </cdr:cNvPr>
        <cdr:cNvSpPr txBox="1"/>
      </cdr:nvSpPr>
      <cdr:spPr>
        <a:xfrm xmlns:a="http://schemas.openxmlformats.org/drawingml/2006/main">
          <a:off x="2082800" y="52578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0</a:t>
          </a:r>
        </a:p>
      </cdr:txBody>
    </cdr:sp>
  </cdr:relSizeAnchor>
  <cdr:relSizeAnchor xmlns:cdr="http://schemas.openxmlformats.org/drawingml/2006/chartDrawing">
    <cdr:from>
      <cdr:x>0.2275</cdr:x>
      <cdr:y>0.83698</cdr:y>
    </cdr:from>
    <cdr:to>
      <cdr:x>0.28216</cdr:x>
      <cdr:y>0.92068</cdr:y>
    </cdr:to>
    <cdr:sp macro="" textlink="">
      <cdr:nvSpPr>
        <cdr:cNvPr id="19" name="TextBox 18">
          <a:extLst xmlns:a="http://schemas.openxmlformats.org/drawingml/2006/main">
            <a:ext uri="{FF2B5EF4-FFF2-40B4-BE49-F238E27FC236}">
              <a16:creationId xmlns:a16="http://schemas.microsoft.com/office/drawing/2014/main" id="{EF78E6B7-06E7-4E09-A18E-CE78329429FB}"/>
            </a:ext>
          </a:extLst>
        </cdr:cNvPr>
        <cdr:cNvSpPr txBox="1"/>
      </cdr:nvSpPr>
      <cdr:spPr>
        <a:xfrm xmlns:a="http://schemas.openxmlformats.org/drawingml/2006/main">
          <a:off x="2114550" y="50800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0.2275</cdr:x>
      <cdr:y>0.73654</cdr:y>
    </cdr:from>
    <cdr:to>
      <cdr:x>0.28216</cdr:x>
      <cdr:y>0.82024</cdr:y>
    </cdr:to>
    <cdr:sp macro="" textlink="">
      <cdr:nvSpPr>
        <cdr:cNvPr id="20" name="TextBox 19">
          <a:extLst xmlns:a="http://schemas.openxmlformats.org/drawingml/2006/main">
            <a:ext uri="{FF2B5EF4-FFF2-40B4-BE49-F238E27FC236}">
              <a16:creationId xmlns:a16="http://schemas.microsoft.com/office/drawing/2014/main" id="{658C1594-8217-4448-8748-2953B88CEAE6}"/>
            </a:ext>
          </a:extLst>
        </cdr:cNvPr>
        <cdr:cNvSpPr txBox="1"/>
      </cdr:nvSpPr>
      <cdr:spPr>
        <a:xfrm xmlns:a="http://schemas.openxmlformats.org/drawingml/2006/main">
          <a:off x="2114550" y="44704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0.2275</cdr:x>
      <cdr:y>0.63611</cdr:y>
    </cdr:from>
    <cdr:to>
      <cdr:x>0.28216</cdr:x>
      <cdr:y>0.71981</cdr:y>
    </cdr:to>
    <cdr:sp macro="" textlink="">
      <cdr:nvSpPr>
        <cdr:cNvPr id="21" name="TextBox 20">
          <a:extLst xmlns:a="http://schemas.openxmlformats.org/drawingml/2006/main">
            <a:ext uri="{FF2B5EF4-FFF2-40B4-BE49-F238E27FC236}">
              <a16:creationId xmlns:a16="http://schemas.microsoft.com/office/drawing/2014/main" id="{DC9435A8-D6CE-4D25-B885-87E05C73A915}"/>
            </a:ext>
          </a:extLst>
        </cdr:cNvPr>
        <cdr:cNvSpPr txBox="1"/>
      </cdr:nvSpPr>
      <cdr:spPr>
        <a:xfrm xmlns:a="http://schemas.openxmlformats.org/drawingml/2006/main">
          <a:off x="2114550" y="38608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0.2275</cdr:x>
      <cdr:y>0.53567</cdr:y>
    </cdr:from>
    <cdr:to>
      <cdr:x>0.28216</cdr:x>
      <cdr:y>0.61937</cdr:y>
    </cdr:to>
    <cdr:sp macro="" textlink="">
      <cdr:nvSpPr>
        <cdr:cNvPr id="22" name="TextBox 21">
          <a:extLst xmlns:a="http://schemas.openxmlformats.org/drawingml/2006/main">
            <a:ext uri="{FF2B5EF4-FFF2-40B4-BE49-F238E27FC236}">
              <a16:creationId xmlns:a16="http://schemas.microsoft.com/office/drawing/2014/main" id="{0F35BD7C-EA4C-4202-B8AD-0487BB803E3F}"/>
            </a:ext>
          </a:extLst>
        </cdr:cNvPr>
        <cdr:cNvSpPr txBox="1"/>
      </cdr:nvSpPr>
      <cdr:spPr>
        <a:xfrm xmlns:a="http://schemas.openxmlformats.org/drawingml/2006/main">
          <a:off x="2114550" y="32512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0.2275</cdr:x>
      <cdr:y>0.43523</cdr:y>
    </cdr:from>
    <cdr:to>
      <cdr:x>0.28216</cdr:x>
      <cdr:y>0.51893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2CF4E7E2-AAC9-479F-8119-FAF7BA4103B1}"/>
            </a:ext>
          </a:extLst>
        </cdr:cNvPr>
        <cdr:cNvSpPr txBox="1"/>
      </cdr:nvSpPr>
      <cdr:spPr>
        <a:xfrm xmlns:a="http://schemas.openxmlformats.org/drawingml/2006/main">
          <a:off x="2114550" y="26416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0.2275</cdr:x>
      <cdr:y>0.33479</cdr:y>
    </cdr:from>
    <cdr:to>
      <cdr:x>0.28216</cdr:x>
      <cdr:y>0.41849</cdr:y>
    </cdr:to>
    <cdr:sp macro="" textlink="">
      <cdr:nvSpPr>
        <cdr:cNvPr id="24" name="TextBox 23">
          <a:extLst xmlns:a="http://schemas.openxmlformats.org/drawingml/2006/main">
            <a:ext uri="{FF2B5EF4-FFF2-40B4-BE49-F238E27FC236}">
              <a16:creationId xmlns:a16="http://schemas.microsoft.com/office/drawing/2014/main" id="{CBA1CFE0-27CD-462E-96BC-4056F64ADA22}"/>
            </a:ext>
          </a:extLst>
        </cdr:cNvPr>
        <cdr:cNvSpPr txBox="1"/>
      </cdr:nvSpPr>
      <cdr:spPr>
        <a:xfrm xmlns:a="http://schemas.openxmlformats.org/drawingml/2006/main">
          <a:off x="2114550" y="20320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0.2275</cdr:x>
      <cdr:y>0.23436</cdr:y>
    </cdr:from>
    <cdr:to>
      <cdr:x>0.28216</cdr:x>
      <cdr:y>0.31805</cdr:y>
    </cdr:to>
    <cdr:sp macro="" textlink="">
      <cdr:nvSpPr>
        <cdr:cNvPr id="25" name="TextBox 24">
          <a:extLst xmlns:a="http://schemas.openxmlformats.org/drawingml/2006/main">
            <a:ext uri="{FF2B5EF4-FFF2-40B4-BE49-F238E27FC236}">
              <a16:creationId xmlns:a16="http://schemas.microsoft.com/office/drawing/2014/main" id="{CB2D9379-C2D8-488F-9372-0A190AE25892}"/>
            </a:ext>
          </a:extLst>
        </cdr:cNvPr>
        <cdr:cNvSpPr txBox="1"/>
      </cdr:nvSpPr>
      <cdr:spPr>
        <a:xfrm xmlns:a="http://schemas.openxmlformats.org/drawingml/2006/main">
          <a:off x="2114550" y="14224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0.2275</cdr:x>
      <cdr:y>0.13392</cdr:y>
    </cdr:from>
    <cdr:to>
      <cdr:x>0.28216</cdr:x>
      <cdr:y>0.21762</cdr:y>
    </cdr:to>
    <cdr:sp macro="" textlink="">
      <cdr:nvSpPr>
        <cdr:cNvPr id="26" name="TextBox 25">
          <a:extLst xmlns:a="http://schemas.openxmlformats.org/drawingml/2006/main">
            <a:ext uri="{FF2B5EF4-FFF2-40B4-BE49-F238E27FC236}">
              <a16:creationId xmlns:a16="http://schemas.microsoft.com/office/drawing/2014/main" id="{FC1A281F-85A2-47C4-94E7-AAAF761BE6C0}"/>
            </a:ext>
          </a:extLst>
        </cdr:cNvPr>
        <cdr:cNvSpPr txBox="1"/>
      </cdr:nvSpPr>
      <cdr:spPr>
        <a:xfrm xmlns:a="http://schemas.openxmlformats.org/drawingml/2006/main">
          <a:off x="2114550" y="8128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0.21179</cdr:x>
      <cdr:y>0.84117</cdr:y>
    </cdr:from>
    <cdr:to>
      <cdr:x>0.26644</cdr:x>
      <cdr:y>0.92487</cdr:y>
    </cdr:to>
    <cdr:sp macro="" textlink="">
      <cdr:nvSpPr>
        <cdr:cNvPr id="27" name="TextBox 26">
          <a:extLst xmlns:a="http://schemas.openxmlformats.org/drawingml/2006/main">
            <a:ext uri="{FF2B5EF4-FFF2-40B4-BE49-F238E27FC236}">
              <a16:creationId xmlns:a16="http://schemas.microsoft.com/office/drawing/2014/main" id="{F0DB80AE-B451-4508-B7DE-D78F3730153A}"/>
            </a:ext>
          </a:extLst>
        </cdr:cNvPr>
        <cdr:cNvSpPr txBox="1"/>
      </cdr:nvSpPr>
      <cdr:spPr>
        <a:xfrm xmlns:a="http://schemas.openxmlformats.org/drawingml/2006/main">
          <a:off x="1968500" y="51054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0</a:t>
          </a:r>
        </a:p>
      </cdr:txBody>
    </cdr:sp>
  </cdr:relSizeAnchor>
  <cdr:relSizeAnchor xmlns:cdr="http://schemas.openxmlformats.org/drawingml/2006/chartDrawing">
    <cdr:from>
      <cdr:x>0.19676</cdr:x>
      <cdr:y>0.74073</cdr:y>
    </cdr:from>
    <cdr:to>
      <cdr:x>0.25141</cdr:x>
      <cdr:y>0.82443</cdr:y>
    </cdr:to>
    <cdr:sp macro="" textlink="">
      <cdr:nvSpPr>
        <cdr:cNvPr id="28" name="TextBox 27">
          <a:extLst xmlns:a="http://schemas.openxmlformats.org/drawingml/2006/main">
            <a:ext uri="{FF2B5EF4-FFF2-40B4-BE49-F238E27FC236}">
              <a16:creationId xmlns:a16="http://schemas.microsoft.com/office/drawing/2014/main" id="{9241834A-EB70-452F-9046-EA0C239ADEF9}"/>
            </a:ext>
          </a:extLst>
        </cdr:cNvPr>
        <cdr:cNvSpPr txBox="1"/>
      </cdr:nvSpPr>
      <cdr:spPr>
        <a:xfrm xmlns:a="http://schemas.openxmlformats.org/drawingml/2006/main">
          <a:off x="1828800" y="44958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100</a:t>
          </a:r>
        </a:p>
      </cdr:txBody>
    </cdr:sp>
  </cdr:relSizeAnchor>
  <cdr:relSizeAnchor xmlns:cdr="http://schemas.openxmlformats.org/drawingml/2006/chartDrawing">
    <cdr:from>
      <cdr:x>0.19676</cdr:x>
      <cdr:y>0.64029</cdr:y>
    </cdr:from>
    <cdr:to>
      <cdr:x>0.25141</cdr:x>
      <cdr:y>0.72399</cdr:y>
    </cdr:to>
    <cdr:sp macro="" textlink="">
      <cdr:nvSpPr>
        <cdr:cNvPr id="29" name="TextBox 28">
          <a:extLst xmlns:a="http://schemas.openxmlformats.org/drawingml/2006/main">
            <a:ext uri="{FF2B5EF4-FFF2-40B4-BE49-F238E27FC236}">
              <a16:creationId xmlns:a16="http://schemas.microsoft.com/office/drawing/2014/main" id="{AE85BB33-7BC5-4EC6-88DB-7435368C55AB}"/>
            </a:ext>
          </a:extLst>
        </cdr:cNvPr>
        <cdr:cNvSpPr txBox="1"/>
      </cdr:nvSpPr>
      <cdr:spPr>
        <a:xfrm xmlns:a="http://schemas.openxmlformats.org/drawingml/2006/main">
          <a:off x="1828800" y="38862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200</a:t>
          </a:r>
        </a:p>
      </cdr:txBody>
    </cdr:sp>
  </cdr:relSizeAnchor>
  <cdr:relSizeAnchor xmlns:cdr="http://schemas.openxmlformats.org/drawingml/2006/chartDrawing">
    <cdr:from>
      <cdr:x>0.19676</cdr:x>
      <cdr:y>0.53985</cdr:y>
    </cdr:from>
    <cdr:to>
      <cdr:x>0.25141</cdr:x>
      <cdr:y>0.62355</cdr:y>
    </cdr:to>
    <cdr:sp macro="" textlink="">
      <cdr:nvSpPr>
        <cdr:cNvPr id="30" name="TextBox 29">
          <a:extLst xmlns:a="http://schemas.openxmlformats.org/drawingml/2006/main">
            <a:ext uri="{FF2B5EF4-FFF2-40B4-BE49-F238E27FC236}">
              <a16:creationId xmlns:a16="http://schemas.microsoft.com/office/drawing/2014/main" id="{F82E3A5D-BAF8-4540-96DC-D3358B1DBE1C}"/>
            </a:ext>
          </a:extLst>
        </cdr:cNvPr>
        <cdr:cNvSpPr txBox="1"/>
      </cdr:nvSpPr>
      <cdr:spPr>
        <a:xfrm xmlns:a="http://schemas.openxmlformats.org/drawingml/2006/main">
          <a:off x="1828800" y="32766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300</a:t>
          </a:r>
        </a:p>
      </cdr:txBody>
    </cdr:sp>
  </cdr:relSizeAnchor>
  <cdr:relSizeAnchor xmlns:cdr="http://schemas.openxmlformats.org/drawingml/2006/chartDrawing">
    <cdr:from>
      <cdr:x>0.19676</cdr:x>
      <cdr:y>0.43942</cdr:y>
    </cdr:from>
    <cdr:to>
      <cdr:x>0.25141</cdr:x>
      <cdr:y>0.52311</cdr:y>
    </cdr:to>
    <cdr:sp macro="" textlink="">
      <cdr:nvSpPr>
        <cdr:cNvPr id="31" name="TextBox 30">
          <a:extLst xmlns:a="http://schemas.openxmlformats.org/drawingml/2006/main">
            <a:ext uri="{FF2B5EF4-FFF2-40B4-BE49-F238E27FC236}">
              <a16:creationId xmlns:a16="http://schemas.microsoft.com/office/drawing/2014/main" id="{B3589BF8-9AD2-4383-805E-1C3B072846A0}"/>
            </a:ext>
          </a:extLst>
        </cdr:cNvPr>
        <cdr:cNvSpPr txBox="1"/>
      </cdr:nvSpPr>
      <cdr:spPr>
        <a:xfrm xmlns:a="http://schemas.openxmlformats.org/drawingml/2006/main">
          <a:off x="1828800" y="26670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400</a:t>
          </a:r>
        </a:p>
      </cdr:txBody>
    </cdr:sp>
  </cdr:relSizeAnchor>
  <cdr:relSizeAnchor xmlns:cdr="http://schemas.openxmlformats.org/drawingml/2006/chartDrawing">
    <cdr:from>
      <cdr:x>0.19676</cdr:x>
      <cdr:y>0.33898</cdr:y>
    </cdr:from>
    <cdr:to>
      <cdr:x>0.25141</cdr:x>
      <cdr:y>0.42268</cdr:y>
    </cdr:to>
    <cdr:sp macro="" textlink="">
      <cdr:nvSpPr>
        <cdr:cNvPr id="32" name="TextBox 31">
          <a:extLst xmlns:a="http://schemas.openxmlformats.org/drawingml/2006/main">
            <a:ext uri="{FF2B5EF4-FFF2-40B4-BE49-F238E27FC236}">
              <a16:creationId xmlns:a16="http://schemas.microsoft.com/office/drawing/2014/main" id="{FB7A96AB-F0AB-4C3F-870C-F4C158E99C2D}"/>
            </a:ext>
          </a:extLst>
        </cdr:cNvPr>
        <cdr:cNvSpPr txBox="1"/>
      </cdr:nvSpPr>
      <cdr:spPr>
        <a:xfrm xmlns:a="http://schemas.openxmlformats.org/drawingml/2006/main">
          <a:off x="1828800" y="20574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500</a:t>
          </a:r>
        </a:p>
      </cdr:txBody>
    </cdr:sp>
  </cdr:relSizeAnchor>
  <cdr:relSizeAnchor xmlns:cdr="http://schemas.openxmlformats.org/drawingml/2006/chartDrawing">
    <cdr:from>
      <cdr:x>0.19676</cdr:x>
      <cdr:y>0.23854</cdr:y>
    </cdr:from>
    <cdr:to>
      <cdr:x>0.25141</cdr:x>
      <cdr:y>0.32224</cdr:y>
    </cdr:to>
    <cdr:sp macro="" textlink="">
      <cdr:nvSpPr>
        <cdr:cNvPr id="33" name="TextBox 32">
          <a:extLst xmlns:a="http://schemas.openxmlformats.org/drawingml/2006/main">
            <a:ext uri="{FF2B5EF4-FFF2-40B4-BE49-F238E27FC236}">
              <a16:creationId xmlns:a16="http://schemas.microsoft.com/office/drawing/2014/main" id="{139AAC62-AC2F-4991-91E8-3BD47E4B67F5}"/>
            </a:ext>
          </a:extLst>
        </cdr:cNvPr>
        <cdr:cNvSpPr txBox="1"/>
      </cdr:nvSpPr>
      <cdr:spPr>
        <a:xfrm xmlns:a="http://schemas.openxmlformats.org/drawingml/2006/main">
          <a:off x="1828800" y="14478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600</a:t>
          </a:r>
        </a:p>
      </cdr:txBody>
    </cdr:sp>
  </cdr:relSizeAnchor>
  <cdr:relSizeAnchor xmlns:cdr="http://schemas.openxmlformats.org/drawingml/2006/chartDrawing">
    <cdr:from>
      <cdr:x>0.19676</cdr:x>
      <cdr:y>0.1381</cdr:y>
    </cdr:from>
    <cdr:to>
      <cdr:x>0.25141</cdr:x>
      <cdr:y>0.2218</cdr:y>
    </cdr:to>
    <cdr:sp macro="" textlink="">
      <cdr:nvSpPr>
        <cdr:cNvPr id="34" name="TextBox 33">
          <a:extLst xmlns:a="http://schemas.openxmlformats.org/drawingml/2006/main">
            <a:ext uri="{FF2B5EF4-FFF2-40B4-BE49-F238E27FC236}">
              <a16:creationId xmlns:a16="http://schemas.microsoft.com/office/drawing/2014/main" id="{15771669-14C6-4BC2-89F7-50108946B85F}"/>
            </a:ext>
          </a:extLst>
        </cdr:cNvPr>
        <cdr:cNvSpPr txBox="1"/>
      </cdr:nvSpPr>
      <cdr:spPr>
        <a:xfrm xmlns:a="http://schemas.openxmlformats.org/drawingml/2006/main">
          <a:off x="1828800" y="8382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700</a:t>
          </a:r>
        </a:p>
      </cdr:txBody>
    </cdr:sp>
  </cdr:relSizeAnchor>
  <cdr:relSizeAnchor xmlns:cdr="http://schemas.openxmlformats.org/drawingml/2006/chartDrawing">
    <cdr:from>
      <cdr:x>0.23451</cdr:x>
      <cdr:y>0.31387</cdr:y>
    </cdr:from>
    <cdr:to>
      <cdr:x>0.38608</cdr:x>
      <cdr:y>0.31387</cdr:y>
    </cdr:to>
    <cdr:cxnSp macro="">
      <cdr:nvCxnSpPr>
        <cdr:cNvPr id="52" name="Straight Arrow Connector 51">
          <a:extLst xmlns:a="http://schemas.openxmlformats.org/drawingml/2006/main">
            <a:ext uri="{FF2B5EF4-FFF2-40B4-BE49-F238E27FC236}">
              <a16:creationId xmlns:a16="http://schemas.microsoft.com/office/drawing/2014/main" id="{7677FB5D-E27A-4CE5-A744-90E18D1027BF}"/>
            </a:ext>
          </a:extLst>
        </cdr:cNvPr>
        <cdr:cNvCxnSpPr/>
      </cdr:nvCxnSpPr>
      <cdr:spPr>
        <a:xfrm xmlns:a="http://schemas.openxmlformats.org/drawingml/2006/main" flipV="1">
          <a:off x="2179674" y="1905000"/>
          <a:ext cx="1408814" cy="1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triangle"/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0.24118</cdr:x>
      <cdr:y>0.2219</cdr:y>
    </cdr:from>
    <cdr:to>
      <cdr:x>0.40133</cdr:x>
      <cdr:y>0.31825</cdr:y>
    </cdr:to>
    <cdr:sp macro="" textlink="">
      <cdr:nvSpPr>
        <cdr:cNvPr id="59" name="TextBox 58">
          <a:extLst xmlns:a="http://schemas.openxmlformats.org/drawingml/2006/main">
            <a:ext uri="{FF2B5EF4-FFF2-40B4-BE49-F238E27FC236}">
              <a16:creationId xmlns:a16="http://schemas.microsoft.com/office/drawing/2014/main" id="{8BC4E0DF-E146-485E-B616-CC20C1FB0B3F}"/>
            </a:ext>
          </a:extLst>
        </cdr:cNvPr>
        <cdr:cNvSpPr txBox="1"/>
      </cdr:nvSpPr>
      <cdr:spPr>
        <a:xfrm xmlns:a="http://schemas.openxmlformats.org/drawingml/2006/main">
          <a:off x="2241698" y="1346789"/>
          <a:ext cx="1488558" cy="5847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GB" sz="1200" baseline="0">
              <a:effectLst/>
              <a:latin typeface="+mn-lt"/>
              <a:ea typeface="+mn-ea"/>
              <a:cs typeface="+mn-cs"/>
            </a:rPr>
            <a:t>Ciawi and Sukamahi Dam: </a:t>
          </a:r>
          <a:r>
            <a:rPr lang="en-GB" sz="1200" b="1" baseline="0">
              <a:effectLst/>
              <a:latin typeface="+mn-lt"/>
              <a:ea typeface="+mn-ea"/>
              <a:cs typeface="+mn-cs"/>
            </a:rPr>
            <a:t>30%</a:t>
          </a:r>
          <a:endParaRPr lang="en-GB" sz="1200">
            <a:effectLst/>
          </a:endParaRPr>
        </a:p>
      </cdr:txBody>
    </cdr:sp>
  </cdr:relSizeAnchor>
  <cdr:relSizeAnchor xmlns:cdr="http://schemas.openxmlformats.org/drawingml/2006/chartDrawing">
    <cdr:from>
      <cdr:x>0.23251</cdr:x>
      <cdr:y>0.3181</cdr:y>
    </cdr:from>
    <cdr:to>
      <cdr:x>0.40133</cdr:x>
      <cdr:y>0.36934</cdr:y>
    </cdr:to>
    <cdr:sp macro="" textlink="">
      <cdr:nvSpPr>
        <cdr:cNvPr id="60" name="TextBox 59">
          <a:extLst xmlns:a="http://schemas.openxmlformats.org/drawingml/2006/main">
            <a:ext uri="{FF2B5EF4-FFF2-40B4-BE49-F238E27FC236}">
              <a16:creationId xmlns:a16="http://schemas.microsoft.com/office/drawing/2014/main" id="{92287A49-E41C-4D94-B7EA-C42212252F9C}"/>
            </a:ext>
          </a:extLst>
        </cdr:cNvPr>
        <cdr:cNvSpPr txBox="1"/>
      </cdr:nvSpPr>
      <cdr:spPr>
        <a:xfrm xmlns:a="http://schemas.openxmlformats.org/drawingml/2006/main">
          <a:off x="2161094" y="1930682"/>
          <a:ext cx="1569162" cy="3109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1">
              <a:effectLst/>
              <a:latin typeface="+mn-lt"/>
              <a:ea typeface="+mn-ea"/>
              <a:cs typeface="+mn-cs"/>
            </a:rPr>
            <a:t>£148M </a:t>
          </a:r>
          <a:r>
            <a:rPr lang="en-GB" sz="1200" b="1" baseline="0">
              <a:effectLst/>
              <a:latin typeface="+mn-lt"/>
              <a:ea typeface="+mn-ea"/>
              <a:cs typeface="+mn-cs"/>
            </a:rPr>
            <a:t> </a:t>
          </a:r>
          <a:r>
            <a:rPr lang="en-GB" sz="1200" b="0" baseline="0">
              <a:effectLst/>
              <a:latin typeface="+mn-lt"/>
              <a:ea typeface="+mn-ea"/>
              <a:cs typeface="+mn-cs"/>
            </a:rPr>
            <a:t>at</a:t>
          </a:r>
          <a:r>
            <a:rPr lang="en-GB" sz="1200" b="1" baseline="0">
              <a:effectLst/>
              <a:latin typeface="+mn-lt"/>
              <a:ea typeface="+mn-ea"/>
              <a:cs typeface="+mn-cs"/>
            </a:rPr>
            <a:t> </a:t>
          </a:r>
          <a:r>
            <a:rPr lang="en-GB" sz="1200" b="1">
              <a:effectLst/>
              <a:latin typeface="+mn-lt"/>
              <a:ea typeface="+mn-ea"/>
              <a:cs typeface="+mn-cs"/>
            </a:rPr>
            <a:t>£4.9M/%</a:t>
          </a:r>
          <a:endParaRPr lang="en-GB" sz="1200"/>
        </a:p>
      </cdr:txBody>
    </cdr:sp>
  </cdr:relSizeAnchor>
  <cdr:relSizeAnchor xmlns:cdr="http://schemas.openxmlformats.org/drawingml/2006/chartDrawing">
    <cdr:from>
      <cdr:x>0.38583</cdr:x>
      <cdr:y>0.22628</cdr:y>
    </cdr:from>
    <cdr:to>
      <cdr:x>0.653</cdr:x>
      <cdr:y>0.22735</cdr:y>
    </cdr:to>
    <cdr:cxnSp macro="">
      <cdr:nvCxnSpPr>
        <cdr:cNvPr id="61" name="Straight Arrow Connector 60">
          <a:extLst xmlns:a="http://schemas.openxmlformats.org/drawingml/2006/main">
            <a:ext uri="{FF2B5EF4-FFF2-40B4-BE49-F238E27FC236}">
              <a16:creationId xmlns:a16="http://schemas.microsoft.com/office/drawing/2014/main" id="{0AD68A64-AB59-4DD0-9F19-57394E0FBB1F}"/>
            </a:ext>
          </a:extLst>
        </cdr:cNvPr>
        <cdr:cNvCxnSpPr/>
      </cdr:nvCxnSpPr>
      <cdr:spPr>
        <a:xfrm xmlns:a="http://schemas.openxmlformats.org/drawingml/2006/main" flipV="1">
          <a:off x="3586126" y="1373372"/>
          <a:ext cx="2483293" cy="649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triangle"/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0.46616</cdr:x>
      <cdr:y>0.13869</cdr:y>
    </cdr:from>
    <cdr:to>
      <cdr:x>0.60629</cdr:x>
      <cdr:y>0.2219</cdr:y>
    </cdr:to>
    <cdr:sp macro="" textlink="">
      <cdr:nvSpPr>
        <cdr:cNvPr id="64" name="TextBox 63">
          <a:extLst xmlns:a="http://schemas.openxmlformats.org/drawingml/2006/main">
            <a:ext uri="{FF2B5EF4-FFF2-40B4-BE49-F238E27FC236}">
              <a16:creationId xmlns:a16="http://schemas.microsoft.com/office/drawing/2014/main" id="{8F6E743B-DD91-47D2-858D-70A63CC9E576}"/>
            </a:ext>
          </a:extLst>
        </cdr:cNvPr>
        <cdr:cNvSpPr txBox="1"/>
      </cdr:nvSpPr>
      <cdr:spPr>
        <a:xfrm xmlns:a="http://schemas.openxmlformats.org/drawingml/2006/main">
          <a:off x="4332767" y="841744"/>
          <a:ext cx="1302487" cy="5050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eaLnBrk="1" fontAlgn="auto" latinLnBrk="0" hangingPunct="1"/>
          <a:r>
            <a:rPr lang="en-GB" sz="1200" baseline="0">
              <a:effectLst/>
              <a:latin typeface="+mn-lt"/>
              <a:ea typeface="+mn-ea"/>
              <a:cs typeface="+mn-cs"/>
            </a:rPr>
            <a:t>Higher Walls: </a:t>
          </a:r>
          <a:endParaRPr lang="en-GB" sz="1200">
            <a:effectLst/>
          </a:endParaRPr>
        </a:p>
        <a:p xmlns:a="http://schemas.openxmlformats.org/drawingml/2006/main">
          <a:pPr eaLnBrk="1" fontAlgn="auto" latinLnBrk="0" hangingPunct="1"/>
          <a:r>
            <a:rPr lang="en-GB" sz="1200" baseline="0">
              <a:effectLst/>
              <a:latin typeface="+mn-lt"/>
              <a:ea typeface="+mn-ea"/>
              <a:cs typeface="+mn-cs"/>
            </a:rPr>
            <a:t>HW </a:t>
          </a:r>
          <a:r>
            <a:rPr lang="en-GB" sz="1200" b="1" baseline="0">
              <a:effectLst/>
              <a:latin typeface="+mn-lt"/>
              <a:ea typeface="+mn-ea"/>
              <a:cs typeface="+mn-cs"/>
            </a:rPr>
            <a:t>56%, </a:t>
          </a:r>
          <a:r>
            <a:rPr lang="en-GB" sz="1200" b="0" baseline="0">
              <a:effectLst/>
              <a:latin typeface="+mn-lt"/>
              <a:ea typeface="+mn-ea"/>
              <a:cs typeface="+mn-cs"/>
            </a:rPr>
            <a:t>0.6m</a:t>
          </a:r>
          <a:endParaRPr lang="en-GB" sz="1200">
            <a:effectLst/>
          </a:endParaRPr>
        </a:p>
        <a:p xmlns:a="http://schemas.openxmlformats.org/drawingml/2006/main">
          <a:endParaRPr lang="en-GB" sz="1200"/>
        </a:p>
      </cdr:txBody>
    </cdr:sp>
  </cdr:relSizeAnchor>
  <cdr:relSizeAnchor xmlns:cdr="http://schemas.openxmlformats.org/drawingml/2006/chartDrawing">
    <cdr:from>
      <cdr:x>0.44995</cdr:x>
      <cdr:y>0.24964</cdr:y>
    </cdr:from>
    <cdr:to>
      <cdr:x>0.61296</cdr:x>
      <cdr:y>0.30949</cdr:y>
    </cdr:to>
    <cdr:sp macro="" textlink="">
      <cdr:nvSpPr>
        <cdr:cNvPr id="65" name="TextBox 64">
          <a:extLst xmlns:a="http://schemas.openxmlformats.org/drawingml/2006/main">
            <a:ext uri="{FF2B5EF4-FFF2-40B4-BE49-F238E27FC236}">
              <a16:creationId xmlns:a16="http://schemas.microsoft.com/office/drawing/2014/main" id="{314DDE6F-5160-45EE-B513-99187FEFF5B7}"/>
            </a:ext>
          </a:extLst>
        </cdr:cNvPr>
        <cdr:cNvSpPr txBox="1"/>
      </cdr:nvSpPr>
      <cdr:spPr>
        <a:xfrm xmlns:a="http://schemas.openxmlformats.org/drawingml/2006/main">
          <a:off x="4182139" y="1515141"/>
          <a:ext cx="1515140" cy="3632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GB" sz="1200" b="1">
              <a:effectLst/>
              <a:latin typeface="+mn-lt"/>
              <a:ea typeface="+mn-ea"/>
              <a:cs typeface="+mn-cs"/>
            </a:rPr>
            <a:t>£3.4M </a:t>
          </a:r>
          <a:r>
            <a:rPr lang="en-GB" sz="1200" b="0">
              <a:effectLst/>
              <a:latin typeface="+mn-lt"/>
              <a:ea typeface="+mn-ea"/>
              <a:cs typeface="+mn-cs"/>
            </a:rPr>
            <a:t>at</a:t>
          </a:r>
          <a:r>
            <a:rPr lang="en-GB" sz="1200" b="1">
              <a:effectLst/>
              <a:latin typeface="+mn-lt"/>
              <a:ea typeface="+mn-ea"/>
              <a:cs typeface="+mn-cs"/>
            </a:rPr>
            <a:t> £0.06M/%</a:t>
          </a:r>
          <a:r>
            <a:rPr lang="en-GB" sz="1200">
              <a:effectLst/>
              <a:latin typeface="+mn-lt"/>
              <a:ea typeface="+mn-ea"/>
              <a:cs typeface="+mn-cs"/>
            </a:rPr>
            <a:t> </a:t>
          </a:r>
          <a:endParaRPr lang="en-GB" sz="1200"/>
        </a:p>
      </cdr:txBody>
    </cdr:sp>
  </cdr:relSizeAnchor>
  <cdr:relSizeAnchor xmlns:cdr="http://schemas.openxmlformats.org/drawingml/2006/chartDrawing">
    <cdr:from>
      <cdr:x>0.65205</cdr:x>
      <cdr:y>0.31095</cdr:y>
    </cdr:from>
    <cdr:to>
      <cdr:x>0.67493</cdr:x>
      <cdr:y>0.31095</cdr:y>
    </cdr:to>
    <cdr:cxnSp macro="">
      <cdr:nvCxnSpPr>
        <cdr:cNvPr id="67" name="Straight Arrow Connector 66">
          <a:extLst xmlns:a="http://schemas.openxmlformats.org/drawingml/2006/main">
            <a:ext uri="{FF2B5EF4-FFF2-40B4-BE49-F238E27FC236}">
              <a16:creationId xmlns:a16="http://schemas.microsoft.com/office/drawing/2014/main" id="{9D6CD7D7-2404-41C7-B422-73AFF5169793}"/>
            </a:ext>
          </a:extLst>
        </cdr:cNvPr>
        <cdr:cNvCxnSpPr/>
      </cdr:nvCxnSpPr>
      <cdr:spPr>
        <a:xfrm xmlns:a="http://schemas.openxmlformats.org/drawingml/2006/main">
          <a:off x="6060558" y="1887279"/>
          <a:ext cx="212651" cy="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triangle"/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0.58837</cdr:x>
      <cdr:y>0.32117</cdr:y>
    </cdr:from>
    <cdr:to>
      <cdr:x>0.66158</cdr:x>
      <cdr:y>0.38353</cdr:y>
    </cdr:to>
    <cdr:cxnSp macro="">
      <cdr:nvCxnSpPr>
        <cdr:cNvPr id="71" name="Straight Arrow Connector 70">
          <a:extLst xmlns:a="http://schemas.openxmlformats.org/drawingml/2006/main">
            <a:ext uri="{FF2B5EF4-FFF2-40B4-BE49-F238E27FC236}">
              <a16:creationId xmlns:a16="http://schemas.microsoft.com/office/drawing/2014/main" id="{11DE4FBE-1B64-4890-A8C4-A01F92DFD118}"/>
            </a:ext>
          </a:extLst>
        </cdr:cNvPr>
        <cdr:cNvCxnSpPr/>
      </cdr:nvCxnSpPr>
      <cdr:spPr>
        <a:xfrm xmlns:a="http://schemas.openxmlformats.org/drawingml/2006/main" flipH="1">
          <a:off x="5458047" y="1936571"/>
          <a:ext cx="679115" cy="37601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0.47853</cdr:x>
      <cdr:y>0.37226</cdr:y>
    </cdr:from>
    <cdr:to>
      <cdr:x>0.66635</cdr:x>
      <cdr:y>0.45109</cdr:y>
    </cdr:to>
    <cdr:sp macro="" textlink="">
      <cdr:nvSpPr>
        <cdr:cNvPr id="72" name="TextBox 71">
          <a:extLst xmlns:a="http://schemas.openxmlformats.org/drawingml/2006/main">
            <a:ext uri="{FF2B5EF4-FFF2-40B4-BE49-F238E27FC236}">
              <a16:creationId xmlns:a16="http://schemas.microsoft.com/office/drawing/2014/main" id="{685203E8-AF75-4B7D-A532-4BD8DAA1FB82}"/>
            </a:ext>
          </a:extLst>
        </cdr:cNvPr>
        <cdr:cNvSpPr txBox="1"/>
      </cdr:nvSpPr>
      <cdr:spPr>
        <a:xfrm xmlns:a="http://schemas.openxmlformats.org/drawingml/2006/main">
          <a:off x="4439093" y="2244631"/>
          <a:ext cx="1742317" cy="4753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eaLnBrk="1" fontAlgn="auto" latinLnBrk="0" hangingPunct="1"/>
          <a:r>
            <a:rPr lang="en-GB" sz="1200" baseline="0">
              <a:effectLst/>
              <a:latin typeface="+mn-lt"/>
              <a:ea typeface="+mn-ea"/>
              <a:cs typeface="+mn-cs"/>
            </a:rPr>
            <a:t>Planting Trees: </a:t>
          </a:r>
          <a:endParaRPr lang="en-GB" sz="1200">
            <a:effectLst/>
          </a:endParaRPr>
        </a:p>
        <a:p xmlns:a="http://schemas.openxmlformats.org/drawingml/2006/main">
          <a:pPr eaLnBrk="1" fontAlgn="auto" latinLnBrk="0" hangingPunct="1"/>
          <a:r>
            <a:rPr lang="en-GB" sz="1200" b="1" baseline="0">
              <a:effectLst/>
              <a:latin typeface="+mn-lt"/>
              <a:ea typeface="+mn-ea"/>
              <a:cs typeface="+mn-cs"/>
            </a:rPr>
            <a:t>up to 4%, </a:t>
          </a:r>
          <a:r>
            <a:rPr lang="en-GB" sz="1200">
              <a:effectLst/>
              <a:latin typeface="+mn-lt"/>
              <a:ea typeface="+mn-ea"/>
              <a:cs typeface="+mn-cs"/>
            </a:rPr>
            <a:t>144,000 trees </a:t>
          </a:r>
          <a:endParaRPr lang="en-GB" sz="1200"/>
        </a:p>
      </cdr:txBody>
    </cdr:sp>
  </cdr:relSizeAnchor>
  <cdr:relSizeAnchor xmlns:cdr="http://schemas.openxmlformats.org/drawingml/2006/chartDrawing">
    <cdr:from>
      <cdr:x>0.45081</cdr:x>
      <cdr:y>0.42467</cdr:y>
    </cdr:from>
    <cdr:to>
      <cdr:x>0.54919</cdr:x>
      <cdr:y>0.57533</cdr:y>
    </cdr:to>
    <cdr:sp macro="" textlink="">
      <cdr:nvSpPr>
        <cdr:cNvPr id="74" name="TextBox 73">
          <a:extLst xmlns:a="http://schemas.openxmlformats.org/drawingml/2006/main">
            <a:ext uri="{FF2B5EF4-FFF2-40B4-BE49-F238E27FC236}">
              <a16:creationId xmlns:a16="http://schemas.microsoft.com/office/drawing/2014/main" id="{BF8DF35B-715E-4B61-947C-D6F7B5E5174D}"/>
            </a:ext>
          </a:extLst>
        </cdr:cNvPr>
        <cdr:cNvSpPr txBox="1"/>
      </cdr:nvSpPr>
      <cdr:spPr>
        <a:xfrm xmlns:a="http://schemas.openxmlformats.org/drawingml/2006/main">
          <a:off x="4190114" y="2577509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0.47853</cdr:x>
      <cdr:y>0.4365</cdr:y>
    </cdr:from>
    <cdr:to>
      <cdr:x>0.64633</cdr:x>
      <cdr:y>0.48467</cdr:y>
    </cdr:to>
    <cdr:sp macro="" textlink="">
      <cdr:nvSpPr>
        <cdr:cNvPr id="75" name="TextBox 74">
          <a:extLst xmlns:a="http://schemas.openxmlformats.org/drawingml/2006/main">
            <a:ext uri="{FF2B5EF4-FFF2-40B4-BE49-F238E27FC236}">
              <a16:creationId xmlns:a16="http://schemas.microsoft.com/office/drawing/2014/main" id="{98AC2116-BD83-4608-9AAD-0735DCAD6214}"/>
            </a:ext>
          </a:extLst>
        </cdr:cNvPr>
        <cdr:cNvSpPr txBox="1"/>
      </cdr:nvSpPr>
      <cdr:spPr>
        <a:xfrm xmlns:a="http://schemas.openxmlformats.org/drawingml/2006/main">
          <a:off x="4439093" y="2631981"/>
          <a:ext cx="1556601" cy="2904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GB" sz="1200" b="1">
              <a:effectLst/>
              <a:latin typeface="+mn-lt"/>
              <a:ea typeface="+mn-ea"/>
              <a:cs typeface="+mn-cs"/>
            </a:rPr>
            <a:t>£1.15M</a:t>
          </a:r>
          <a:r>
            <a:rPr lang="en-GB" sz="1200" b="1" baseline="0">
              <a:effectLst/>
              <a:latin typeface="+mn-lt"/>
              <a:ea typeface="+mn-ea"/>
              <a:cs typeface="+mn-cs"/>
            </a:rPr>
            <a:t> </a:t>
          </a:r>
          <a:r>
            <a:rPr lang="en-GB" sz="1200" b="0" baseline="0">
              <a:effectLst/>
              <a:latin typeface="+mn-lt"/>
              <a:ea typeface="+mn-ea"/>
              <a:cs typeface="+mn-cs"/>
            </a:rPr>
            <a:t>at</a:t>
          </a:r>
          <a:r>
            <a:rPr lang="en-GB" sz="1200" b="1" baseline="0">
              <a:effectLst/>
              <a:latin typeface="+mn-lt"/>
              <a:ea typeface="+mn-ea"/>
              <a:cs typeface="+mn-cs"/>
            </a:rPr>
            <a:t> </a:t>
          </a:r>
          <a:r>
            <a:rPr lang="en-GB" sz="1200" b="1">
              <a:effectLst/>
              <a:latin typeface="+mn-lt"/>
              <a:ea typeface="+mn-ea"/>
              <a:cs typeface="+mn-cs"/>
            </a:rPr>
            <a:t>£0.29M/%</a:t>
          </a:r>
          <a:r>
            <a:rPr lang="en-GB" sz="1200">
              <a:effectLst/>
              <a:latin typeface="+mn-lt"/>
              <a:ea typeface="+mn-ea"/>
              <a:cs typeface="+mn-cs"/>
            </a:rPr>
            <a:t> </a:t>
          </a:r>
          <a:endParaRPr lang="en-GB" sz="1200"/>
        </a:p>
      </cdr:txBody>
    </cdr:sp>
  </cdr:relSizeAnchor>
  <cdr:relSizeAnchor xmlns:cdr="http://schemas.openxmlformats.org/drawingml/2006/chartDrawing">
    <cdr:from>
      <cdr:x>0.66158</cdr:x>
      <cdr:y>0.61168</cdr:y>
    </cdr:from>
    <cdr:to>
      <cdr:x>0.70639</cdr:x>
      <cdr:y>0.61314</cdr:y>
    </cdr:to>
    <cdr:cxnSp macro="">
      <cdr:nvCxnSpPr>
        <cdr:cNvPr id="77" name="Straight Arrow Connector 76">
          <a:extLst xmlns:a="http://schemas.openxmlformats.org/drawingml/2006/main">
            <a:ext uri="{FF2B5EF4-FFF2-40B4-BE49-F238E27FC236}">
              <a16:creationId xmlns:a16="http://schemas.microsoft.com/office/drawing/2014/main" id="{845AB163-8045-4D48-9ADB-71550F87BDD3}"/>
            </a:ext>
          </a:extLst>
        </cdr:cNvPr>
        <cdr:cNvCxnSpPr/>
      </cdr:nvCxnSpPr>
      <cdr:spPr>
        <a:xfrm xmlns:a="http://schemas.openxmlformats.org/drawingml/2006/main" flipV="1">
          <a:off x="6149163" y="3712535"/>
          <a:ext cx="416442" cy="886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triangle"/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0.55781</cdr:x>
      <cdr:y>0.61864</cdr:y>
    </cdr:from>
    <cdr:to>
      <cdr:x>0.68198</cdr:x>
      <cdr:y>0.7024</cdr:y>
    </cdr:to>
    <cdr:cxnSp macro="">
      <cdr:nvCxnSpPr>
        <cdr:cNvPr id="82" name="Straight Arrow Connector 81">
          <a:extLst xmlns:a="http://schemas.openxmlformats.org/drawingml/2006/main">
            <a:ext uri="{FF2B5EF4-FFF2-40B4-BE49-F238E27FC236}">
              <a16:creationId xmlns:a16="http://schemas.microsoft.com/office/drawing/2014/main" id="{C1AB9A3E-DA07-4DDC-9EA7-E920F93EDC06}"/>
            </a:ext>
          </a:extLst>
        </cdr:cNvPr>
        <cdr:cNvCxnSpPr/>
      </cdr:nvCxnSpPr>
      <cdr:spPr>
        <a:xfrm xmlns:a="http://schemas.openxmlformats.org/drawingml/2006/main" flipH="1">
          <a:off x="5174513" y="3730256"/>
          <a:ext cx="1151859" cy="505046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0.46516</cdr:x>
      <cdr:y>0.68029</cdr:y>
    </cdr:from>
    <cdr:to>
      <cdr:x>0.65237</cdr:x>
      <cdr:y>0.76642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83" name="TextBox 82">
              <a:extLst xmlns:a="http://schemas.openxmlformats.org/drawingml/2006/main">
                <a:ext uri="{FF2B5EF4-FFF2-40B4-BE49-F238E27FC236}">
                  <a16:creationId xmlns:a16="http://schemas.microsoft.com/office/drawing/2014/main" id="{87CDA016-4140-4AD3-96B1-F4C1A26B93F9}"/>
                </a:ext>
              </a:extLst>
            </cdr:cNvPr>
            <cdr:cNvSpPr txBox="1"/>
          </cdr:nvSpPr>
          <cdr:spPr>
            <a:xfrm xmlns:a="http://schemas.openxmlformats.org/drawingml/2006/main">
              <a:off x="4315048" y="4101971"/>
              <a:ext cx="1736650" cy="51934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:pPr eaLnBrk="1" fontAlgn="auto" latinLnBrk="0" hangingPunct="1"/>
              <a:r>
                <a:rPr lang="en-GB" sz="1200" baseline="0">
                  <a:effectLst/>
                  <a:latin typeface="+mn-lt"/>
                  <a:ea typeface="+mn-ea"/>
                  <a:cs typeface="+mn-cs"/>
                </a:rPr>
                <a:t>Floodways: </a:t>
              </a:r>
              <a:endParaRPr lang="en-GB" sz="1200">
                <a:effectLst/>
              </a:endParaRPr>
            </a:p>
            <a:p xmlns:a="http://schemas.openxmlformats.org/drawingml/2006/main">
              <a:pPr eaLnBrk="1" fontAlgn="auto" latinLnBrk="0" hangingPunct="1"/>
              <a:r>
                <a:rPr lang="en-GB" sz="1200" b="1" baseline="0">
                  <a:effectLst/>
                  <a:latin typeface="+mn-lt"/>
                  <a:ea typeface="+mn-ea"/>
                  <a:cs typeface="+mn-cs"/>
                </a:rPr>
                <a:t>10%, </a:t>
              </a:r>
              <a:r>
                <a:rPr lang="en-GB" sz="1200">
                  <a:effectLst/>
                  <a:latin typeface="+mn-lt"/>
                  <a:ea typeface="+mn-ea"/>
                  <a:cs typeface="+mn-cs"/>
                </a:rPr>
                <a:t>0.49 hrs at 60</a:t>
              </a:r>
              <a14:m>
                <m:oMath xmlns:m="http://schemas.openxmlformats.org/officeDocument/2006/math">
                  <m:r>
                    <a:rPr lang="en-GB" sz="1200" b="0" i="0"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sSup>
                    <m:sSupPr>
                      <m:ctrlPr>
                        <a:rPr lang="en-GB" sz="1200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m:rPr>
                          <m:sty m:val="p"/>
                        </m:rPr>
                        <a:rPr lang="en-GB" sz="120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m</m:t>
                      </m:r>
                    </m:e>
                    <m:sup>
                      <m:r>
                        <a:rPr lang="en-GB" sz="120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3</m:t>
                      </m:r>
                    </m:sup>
                  </m:sSup>
                </m:oMath>
              </a14:m>
              <a:r>
                <a:rPr lang="en-GB" sz="1200">
                  <a:effectLst/>
                  <a:latin typeface="+mn-lt"/>
                  <a:ea typeface="+mn-ea"/>
                  <a:cs typeface="+mn-cs"/>
                </a:rPr>
                <a:t>/s </a:t>
              </a:r>
              <a:endParaRPr lang="en-GB" sz="1200">
                <a:effectLst/>
              </a:endParaRPr>
            </a:p>
            <a:p xmlns:a="http://schemas.openxmlformats.org/drawingml/2006/main">
              <a:endParaRPr lang="en-GB" sz="1200"/>
            </a:p>
          </cdr:txBody>
        </cdr:sp>
      </mc:Choice>
      <mc:Fallback>
        <cdr:sp macro="" textlink="">
          <cdr:nvSpPr>
            <cdr:cNvPr id="83" name="TextBox 82">
              <a:extLst xmlns:a="http://schemas.openxmlformats.org/drawingml/2006/main">
                <a:ext uri="{FF2B5EF4-FFF2-40B4-BE49-F238E27FC236}">
                  <a16:creationId xmlns:a16="http://schemas.microsoft.com/office/drawing/2014/main" id="{87CDA016-4140-4AD3-96B1-F4C1A26B93F9}"/>
                </a:ext>
              </a:extLst>
            </cdr:cNvPr>
            <cdr:cNvSpPr txBox="1"/>
          </cdr:nvSpPr>
          <cdr:spPr>
            <a:xfrm xmlns:a="http://schemas.openxmlformats.org/drawingml/2006/main">
              <a:off x="4315048" y="4101971"/>
              <a:ext cx="1736650" cy="51934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:pPr eaLnBrk="1" fontAlgn="auto" latinLnBrk="0" hangingPunct="1"/>
              <a:r>
                <a:rPr lang="en-GB" sz="1200" baseline="0">
                  <a:effectLst/>
                  <a:latin typeface="+mn-lt"/>
                  <a:ea typeface="+mn-ea"/>
                  <a:cs typeface="+mn-cs"/>
                </a:rPr>
                <a:t>Floodways: </a:t>
              </a:r>
              <a:endParaRPr lang="en-GB" sz="1200">
                <a:effectLst/>
              </a:endParaRPr>
            </a:p>
            <a:p xmlns:a="http://schemas.openxmlformats.org/drawingml/2006/main">
              <a:pPr eaLnBrk="1" fontAlgn="auto" latinLnBrk="0" hangingPunct="1"/>
              <a:r>
                <a:rPr lang="en-GB" sz="1200" b="1" baseline="0">
                  <a:effectLst/>
                  <a:latin typeface="+mn-lt"/>
                  <a:ea typeface="+mn-ea"/>
                  <a:cs typeface="+mn-cs"/>
                </a:rPr>
                <a:t>10%, </a:t>
              </a:r>
              <a:r>
                <a:rPr lang="en-GB" sz="1200">
                  <a:effectLst/>
                  <a:latin typeface="+mn-lt"/>
                  <a:ea typeface="+mn-ea"/>
                  <a:cs typeface="+mn-cs"/>
                </a:rPr>
                <a:t>0.49 hrs at 60</a:t>
              </a:r>
              <a:r>
                <a:rPr lang="en-GB" sz="12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GB" sz="120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m^3</a:t>
              </a:r>
              <a:r>
                <a:rPr lang="en-GB" sz="1200">
                  <a:effectLst/>
                  <a:latin typeface="+mn-lt"/>
                  <a:ea typeface="+mn-ea"/>
                  <a:cs typeface="+mn-cs"/>
                </a:rPr>
                <a:t>/s </a:t>
              </a:r>
              <a:endParaRPr lang="en-GB" sz="1200">
                <a:effectLst/>
              </a:endParaRPr>
            </a:p>
            <a:p xmlns:a="http://schemas.openxmlformats.org/drawingml/2006/main">
              <a:endParaRPr lang="en-GB" sz="1200"/>
            </a:p>
          </cdr:txBody>
        </cdr:sp>
      </mc:Fallback>
    </mc:AlternateContent>
  </cdr:relSizeAnchor>
  <cdr:relSizeAnchor xmlns:cdr="http://schemas.openxmlformats.org/drawingml/2006/chartDrawing">
    <cdr:from>
      <cdr:x>0.46516</cdr:x>
      <cdr:y>0.74706</cdr:y>
    </cdr:from>
    <cdr:to>
      <cdr:x>0.66921</cdr:x>
      <cdr:y>0.79523</cdr:y>
    </cdr:to>
    <cdr:sp macro="" textlink="">
      <cdr:nvSpPr>
        <cdr:cNvPr id="85" name="TextBox 1">
          <a:extLst xmlns:a="http://schemas.openxmlformats.org/drawingml/2006/main">
            <a:ext uri="{FF2B5EF4-FFF2-40B4-BE49-F238E27FC236}">
              <a16:creationId xmlns:a16="http://schemas.microsoft.com/office/drawing/2014/main" id="{88680FD0-AB1F-47A2-8582-365F63C73241}"/>
            </a:ext>
          </a:extLst>
        </cdr:cNvPr>
        <cdr:cNvSpPr txBox="1"/>
      </cdr:nvSpPr>
      <cdr:spPr>
        <a:xfrm xmlns:a="http://schemas.openxmlformats.org/drawingml/2006/main">
          <a:off x="4315047" y="4504577"/>
          <a:ext cx="1892894" cy="29045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 b="1">
              <a:effectLst/>
              <a:latin typeface="+mn-lt"/>
              <a:ea typeface="+mn-ea"/>
              <a:cs typeface="+mn-cs"/>
            </a:rPr>
            <a:t>£4.6M</a:t>
          </a:r>
          <a:r>
            <a:rPr lang="en-GB" sz="1200" b="1" baseline="0">
              <a:effectLst/>
              <a:latin typeface="+mn-lt"/>
              <a:ea typeface="+mn-ea"/>
              <a:cs typeface="+mn-cs"/>
            </a:rPr>
            <a:t> </a:t>
          </a:r>
          <a:r>
            <a:rPr lang="en-GB" sz="1200" b="0" baseline="0">
              <a:effectLst/>
              <a:latin typeface="+mn-lt"/>
              <a:ea typeface="+mn-ea"/>
              <a:cs typeface="+mn-cs"/>
            </a:rPr>
            <a:t>at</a:t>
          </a:r>
          <a:r>
            <a:rPr lang="en-GB" sz="1200" b="1" baseline="0">
              <a:effectLst/>
              <a:latin typeface="+mn-lt"/>
              <a:ea typeface="+mn-ea"/>
              <a:cs typeface="+mn-cs"/>
            </a:rPr>
            <a:t> </a:t>
          </a:r>
          <a:r>
            <a:rPr lang="en-GB" sz="1200" b="1">
              <a:effectLst/>
              <a:latin typeface="+mn-lt"/>
              <a:ea typeface="+mn-ea"/>
              <a:cs typeface="+mn-cs"/>
            </a:rPr>
            <a:t>£0.46M/%</a:t>
          </a:r>
          <a:r>
            <a:rPr lang="en-GB" sz="1200">
              <a:effectLst/>
              <a:latin typeface="+mn-lt"/>
              <a:ea typeface="+mn-ea"/>
              <a:cs typeface="+mn-cs"/>
            </a:rPr>
            <a:t> </a:t>
          </a:r>
          <a:endParaRPr lang="en-GB" sz="1200"/>
        </a:p>
      </cdr:txBody>
    </cdr:sp>
  </cdr:relSizeAnchor>
  <cdr:relSizeAnchor xmlns:cdr="http://schemas.openxmlformats.org/drawingml/2006/chartDrawing">
    <cdr:from>
      <cdr:x>0.42231</cdr:x>
      <cdr:y>0.91825</cdr:y>
    </cdr:from>
    <cdr:to>
      <cdr:x>0.5796</cdr:x>
      <cdr:y>0.96642</cdr:y>
    </cdr:to>
    <cdr:sp macro="" textlink="">
      <cdr:nvSpPr>
        <cdr:cNvPr id="93" name="TextBox 92">
          <a:extLst xmlns:a="http://schemas.openxmlformats.org/drawingml/2006/main">
            <a:ext uri="{FF2B5EF4-FFF2-40B4-BE49-F238E27FC236}">
              <a16:creationId xmlns:a16="http://schemas.microsoft.com/office/drawing/2014/main" id="{D44950E5-EFB1-4109-B9FD-FE2998CBDCD8}"/>
            </a:ext>
          </a:extLst>
        </cdr:cNvPr>
        <cdr:cNvSpPr txBox="1"/>
      </cdr:nvSpPr>
      <cdr:spPr>
        <a:xfrm xmlns:a="http://schemas.openxmlformats.org/drawingml/2006/main">
          <a:off x="3925187" y="5573232"/>
          <a:ext cx="1461976" cy="29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GB" sz="1400">
              <a:latin typeface="Arial" panose="020B0604020202020204" pitchFamily="34" charset="0"/>
              <a:cs typeface="Arial" panose="020B0604020202020204" pitchFamily="34" charset="0"/>
            </a:rPr>
            <a:t>Sidelength (m)</a:t>
          </a:r>
        </a:p>
      </cdr:txBody>
    </cdr:sp>
  </cdr:relSizeAnchor>
  <cdr:relSizeAnchor xmlns:cdr="http://schemas.openxmlformats.org/drawingml/2006/chartDrawing">
    <cdr:from>
      <cdr:x>0.15752</cdr:x>
      <cdr:y>0.33139</cdr:y>
    </cdr:from>
    <cdr:to>
      <cdr:x>0.18897</cdr:x>
      <cdr:y>0.59596</cdr:y>
    </cdr:to>
    <cdr:sp macro="" textlink="">
      <cdr:nvSpPr>
        <cdr:cNvPr id="94" name="TextBox 1">
          <a:extLst xmlns:a="http://schemas.openxmlformats.org/drawingml/2006/main">
            <a:ext uri="{FF2B5EF4-FFF2-40B4-BE49-F238E27FC236}">
              <a16:creationId xmlns:a16="http://schemas.microsoft.com/office/drawing/2014/main" id="{46BB9098-C647-4A92-B39A-98C834ABFB30}"/>
            </a:ext>
          </a:extLst>
        </cdr:cNvPr>
        <cdr:cNvSpPr txBox="1"/>
      </cdr:nvSpPr>
      <cdr:spPr>
        <a:xfrm xmlns:a="http://schemas.openxmlformats.org/drawingml/2006/main" rot="16200000">
          <a:off x="807337" y="2668035"/>
          <a:ext cx="1605813" cy="29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400">
              <a:latin typeface="Arial" panose="020B0604020202020204" pitchFamily="34" charset="0"/>
              <a:cs typeface="Arial" panose="020B0604020202020204" pitchFamily="34" charset="0"/>
            </a:rPr>
            <a:t>Sidelength (m)</a:t>
          </a:r>
        </a:p>
      </cdr:txBody>
    </cdr:sp>
  </cdr:relSizeAnchor>
  <cdr:relSizeAnchor xmlns:cdr="http://schemas.openxmlformats.org/drawingml/2006/chartDrawing">
    <cdr:from>
      <cdr:x>0.28313</cdr:x>
      <cdr:y>0.02336</cdr:y>
    </cdr:from>
    <cdr:to>
      <cdr:x>0.70067</cdr:x>
      <cdr:y>0.08467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95" name="TextBox 94">
              <a:extLst xmlns:a="http://schemas.openxmlformats.org/drawingml/2006/main">
                <a:ext uri="{FF2B5EF4-FFF2-40B4-BE49-F238E27FC236}">
                  <a16:creationId xmlns:a16="http://schemas.microsoft.com/office/drawing/2014/main" id="{5BEBEA5F-4BFC-4704-89AB-D20FFBB71CFE}"/>
                </a:ext>
              </a:extLst>
            </cdr:cNvPr>
            <cdr:cNvSpPr txBox="1"/>
          </cdr:nvSpPr>
          <cdr:spPr>
            <a:xfrm xmlns:a="http://schemas.openxmlformats.org/drawingml/2006/main">
              <a:off x="2631559" y="141767"/>
              <a:ext cx="3880884" cy="37214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:r>
                <a:rPr lang="en-GB" sz="1800" i="0"/>
                <a:t>S1:</a:t>
              </a:r>
              <a:r>
                <a:rPr lang="en-GB" sz="1800" i="0" baseline="0"/>
                <a:t> </a:t>
              </a:r>
              <a14:m>
                <m:oMath xmlns:m="http://schemas.openxmlformats.org/officeDocument/2006/math">
                  <m:r>
                    <m:rPr>
                      <m:sty m:val="p"/>
                    </m:rPr>
                    <a:rPr lang="en-GB" sz="1800" b="0" i="0" baseline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FEV</m:t>
                  </m:r>
                  <m:r>
                    <a:rPr lang="en-GB" sz="1800" i="0" baseline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≈</m:t>
                  </m:r>
                  <m:sSup>
                    <m:sSupPr>
                      <m:ctrlPr>
                        <a:rPr lang="en-GB" sz="18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pPr>
                    <m:e>
                      <m:r>
                        <a:rPr lang="en-GB" sz="1800" b="0" i="0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725</m:t>
                      </m:r>
                    </m:e>
                    <m:sup>
                      <m:r>
                        <a:rPr lang="en-GB" sz="1800" b="0" i="0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2</m:t>
                      </m:r>
                    </m:sup>
                  </m:sSup>
                  <m:sSup>
                    <m:sSupPr>
                      <m:ctrlPr>
                        <a:rPr lang="en-GB" sz="18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pPr>
                    <m:e>
                      <m:r>
                        <m:rPr>
                          <m:sty m:val="p"/>
                        </m:rPr>
                        <a:rPr lang="en-GB" sz="1800" b="0" i="0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m</m:t>
                      </m:r>
                    </m:e>
                    <m:sup>
                      <m:r>
                        <a:rPr lang="en-GB" sz="1800" b="0" i="0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2</m:t>
                      </m:r>
                    </m:sup>
                  </m:sSup>
                  <m:r>
                    <a:rPr lang="en-GB" sz="1800" b="0" i="0" baseline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×2</m:t>
                  </m:r>
                  <m:r>
                    <m:rPr>
                      <m:sty m:val="p"/>
                    </m:rPr>
                    <a:rPr lang="en-GB" sz="1800" b="0" i="0" baseline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m</m:t>
                  </m:r>
                  <m:r>
                    <a:rPr lang="en-GB" sz="1800" b="0" i="0" baseline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=1.05</m:t>
                  </m:r>
                  <m:r>
                    <m:rPr>
                      <m:sty m:val="p"/>
                    </m:rPr>
                    <a:rPr lang="en-GB" sz="1800" b="0" i="0" baseline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M</m:t>
                  </m:r>
                  <m:sSup>
                    <m:sSupPr>
                      <m:ctrlPr>
                        <a:rPr lang="en-GB" sz="1800" b="0" i="1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pPr>
                    <m:e>
                      <m:r>
                        <m:rPr>
                          <m:sty m:val="p"/>
                        </m:rPr>
                        <a:rPr lang="en-GB" sz="1800" b="0" i="0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m</m:t>
                      </m:r>
                    </m:e>
                    <m:sup>
                      <m:r>
                        <a:rPr lang="en-GB" sz="1800" b="0" i="0" baseline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3</m:t>
                      </m:r>
                    </m:sup>
                  </m:sSup>
                </m:oMath>
              </a14:m>
              <a:endParaRPr lang="en-GB" sz="1800" i="0"/>
            </a:p>
          </cdr:txBody>
        </cdr:sp>
      </mc:Choice>
      <mc:Fallback xmlns="">
        <cdr:sp macro="" textlink="">
          <cdr:nvSpPr>
            <cdr:cNvPr id="95" name="TextBox 94">
              <a:extLst xmlns:a="http://schemas.openxmlformats.org/drawingml/2006/main">
                <a:ext uri="{FF2B5EF4-FFF2-40B4-BE49-F238E27FC236}">
                  <a16:creationId xmlns:a16="http://schemas.microsoft.com/office/drawing/2014/main" id="{5BEBEA5F-4BFC-4704-89AB-D20FFBB71CFE}"/>
                </a:ext>
              </a:extLst>
            </cdr:cNvPr>
            <cdr:cNvSpPr txBox="1"/>
          </cdr:nvSpPr>
          <cdr:spPr>
            <a:xfrm xmlns:a="http://schemas.openxmlformats.org/drawingml/2006/main">
              <a:off x="2631559" y="141767"/>
              <a:ext cx="3880884" cy="37214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:r>
                <a:rPr lang="en-GB" sz="1800" i="0"/>
                <a:t>S1:</a:t>
              </a:r>
              <a:r>
                <a:rPr lang="en-GB" sz="1800" i="0" baseline="0"/>
                <a:t> </a:t>
              </a:r>
              <a:r>
                <a:rPr lang="en-GB" sz="18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FEV</a:t>
              </a:r>
              <a:r>
                <a:rPr lang="en-GB" sz="180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≈</a:t>
              </a:r>
              <a:r>
                <a:rPr lang="en-GB" sz="18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725^2 m^2  ×2m=1.05Mm^3</a:t>
              </a:r>
              <a:endParaRPr lang="en-GB" sz="1800" i="0"/>
            </a:p>
          </cdr:txBody>
        </cdr:sp>
      </mc:Fallback>
    </mc:AlternateContent>
  </cdr:relSizeAnchor>
  <cdr:relSizeAnchor xmlns:cdr="http://schemas.openxmlformats.org/drawingml/2006/chartDrawing">
    <cdr:from>
      <cdr:x>0.73785</cdr:x>
      <cdr:y>0.86423</cdr:y>
    </cdr:from>
    <cdr:to>
      <cdr:x>0.83794</cdr:x>
      <cdr:y>0.86423</cdr:y>
    </cdr:to>
    <cdr:cxnSp macro="">
      <cdr:nvCxnSpPr>
        <cdr:cNvPr id="97" name="Straight Arrow Connector 96">
          <a:extLst xmlns:a="http://schemas.openxmlformats.org/drawingml/2006/main">
            <a:ext uri="{FF2B5EF4-FFF2-40B4-BE49-F238E27FC236}">
              <a16:creationId xmlns:a16="http://schemas.microsoft.com/office/drawing/2014/main" id="{61EDBC30-186E-499B-9967-35367E9C463D}"/>
            </a:ext>
          </a:extLst>
        </cdr:cNvPr>
        <cdr:cNvCxnSpPr/>
      </cdr:nvCxnSpPr>
      <cdr:spPr>
        <a:xfrm xmlns:a="http://schemas.openxmlformats.org/drawingml/2006/main">
          <a:off x="6858000" y="5245395"/>
          <a:ext cx="930349" cy="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0.73664</cdr:x>
      <cdr:y>0.11348</cdr:y>
    </cdr:from>
    <cdr:to>
      <cdr:x>0.83673</cdr:x>
      <cdr:y>0.11348</cdr:y>
    </cdr:to>
    <cdr:cxnSp macro="">
      <cdr:nvCxnSpPr>
        <cdr:cNvPr id="99" name="Straight Arrow Connector 98">
          <a:extLst xmlns:a="http://schemas.openxmlformats.org/drawingml/2006/main">
            <a:ext uri="{FF2B5EF4-FFF2-40B4-BE49-F238E27FC236}">
              <a16:creationId xmlns:a16="http://schemas.microsoft.com/office/drawing/2014/main" id="{463E4CC1-EB73-4589-9023-F9247D4532C5}"/>
            </a:ext>
          </a:extLst>
        </cdr:cNvPr>
        <cdr:cNvCxnSpPr/>
      </cdr:nvCxnSpPr>
      <cdr:spPr>
        <a:xfrm xmlns:a="http://schemas.openxmlformats.org/drawingml/2006/main">
          <a:off x="6846776" y="688753"/>
          <a:ext cx="930349" cy="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0.84271</cdr:x>
      <cdr:y>0.09197</cdr:y>
    </cdr:from>
    <cdr:to>
      <cdr:x>0.94852</cdr:x>
      <cdr:y>0.18832</cdr:y>
    </cdr:to>
    <cdr:sp macro="" textlink="">
      <cdr:nvSpPr>
        <cdr:cNvPr id="100" name="TextBox 99">
          <a:extLst xmlns:a="http://schemas.openxmlformats.org/drawingml/2006/main">
            <a:ext uri="{FF2B5EF4-FFF2-40B4-BE49-F238E27FC236}">
              <a16:creationId xmlns:a16="http://schemas.microsoft.com/office/drawing/2014/main" id="{9BBABDF6-C2DB-4028-98DA-B3A21124AE56}"/>
            </a:ext>
          </a:extLst>
        </cdr:cNvPr>
        <cdr:cNvSpPr txBox="1"/>
      </cdr:nvSpPr>
      <cdr:spPr>
        <a:xfrm xmlns:a="http://schemas.openxmlformats.org/drawingml/2006/main">
          <a:off x="7832675" y="558204"/>
          <a:ext cx="983487" cy="5847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GB" sz="1200">
              <a:latin typeface="Arial" panose="020B0604020202020204" pitchFamily="34" charset="0"/>
              <a:cs typeface="Arial" panose="020B0604020202020204" pitchFamily="34" charset="0"/>
            </a:rPr>
            <a:t>Best Case</a:t>
          </a:r>
        </a:p>
        <a:p xmlns:a="http://schemas.openxmlformats.org/drawingml/2006/main">
          <a:r>
            <a:rPr lang="en-GB" sz="1200">
              <a:latin typeface="Arial" panose="020B0604020202020204" pitchFamily="34" charset="0"/>
              <a:cs typeface="Arial" panose="020B0604020202020204" pitchFamily="34" charset="0"/>
            </a:rPr>
            <a:t>(100%)</a:t>
          </a:r>
        </a:p>
      </cdr:txBody>
    </cdr:sp>
  </cdr:relSizeAnchor>
  <cdr:relSizeAnchor xmlns:cdr="http://schemas.openxmlformats.org/drawingml/2006/chartDrawing">
    <cdr:from>
      <cdr:x>0.84245</cdr:x>
      <cdr:y>0.84049</cdr:y>
    </cdr:from>
    <cdr:to>
      <cdr:x>0.96758</cdr:x>
      <cdr:y>0.91241</cdr:y>
    </cdr:to>
    <cdr:sp macro="" textlink="">
      <cdr:nvSpPr>
        <cdr:cNvPr id="101" name="TextBox 1">
          <a:extLst xmlns:a="http://schemas.openxmlformats.org/drawingml/2006/main">
            <a:ext uri="{FF2B5EF4-FFF2-40B4-BE49-F238E27FC236}">
              <a16:creationId xmlns:a16="http://schemas.microsoft.com/office/drawing/2014/main" id="{0244966F-B268-438F-8EE8-2B0DBC1A0EEA}"/>
            </a:ext>
          </a:extLst>
        </cdr:cNvPr>
        <cdr:cNvSpPr txBox="1"/>
      </cdr:nvSpPr>
      <cdr:spPr>
        <a:xfrm xmlns:a="http://schemas.openxmlformats.org/drawingml/2006/main">
          <a:off x="7830293" y="5101287"/>
          <a:ext cx="1163037" cy="4365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200">
              <a:latin typeface="Arial" panose="020B0604020202020204" pitchFamily="34" charset="0"/>
              <a:cs typeface="Arial" panose="020B0604020202020204" pitchFamily="34" charset="0"/>
            </a:rPr>
            <a:t>Worst Case</a:t>
          </a:r>
        </a:p>
        <a:p xmlns:a="http://schemas.openxmlformats.org/drawingml/2006/main">
          <a:r>
            <a:rPr lang="en-GB" sz="1200">
              <a:latin typeface="Arial" panose="020B0604020202020204" pitchFamily="34" charset="0"/>
              <a:cs typeface="Arial" panose="020B0604020202020204" pitchFamily="34" charset="0"/>
            </a:rPr>
            <a:t>(96%)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4628" cy="606941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F879DE-6278-4E31-92C8-6817B0B0373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0.23775</cdr:x>
      <cdr:y>0.11299</cdr:y>
    </cdr:from>
    <cdr:to>
      <cdr:x>0.72965</cdr:x>
      <cdr:y>0.86628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2B09A875-0964-49E0-A056-6D6AD51D71C7}"/>
            </a:ext>
          </a:extLst>
        </cdr:cNvPr>
        <cdr:cNvSpPr/>
      </cdr:nvSpPr>
      <cdr:spPr>
        <a:xfrm xmlns:a="http://schemas.openxmlformats.org/drawingml/2006/main">
          <a:off x="2209800" y="685800"/>
          <a:ext cx="4572000" cy="4572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0.23737</cdr:x>
      <cdr:y>0.11241</cdr:y>
    </cdr:from>
    <cdr:to>
      <cdr:x>0.73022</cdr:x>
      <cdr:y>0.86715</cdr:y>
    </cdr:to>
    <cdr:sp macro="" textlink="">
      <cdr:nvSpPr>
        <cdr:cNvPr id="36" name="Rectangle 35">
          <a:extLst xmlns:a="http://schemas.openxmlformats.org/drawingml/2006/main">
            <a:ext uri="{FF2B5EF4-FFF2-40B4-BE49-F238E27FC236}">
              <a16:creationId xmlns:a16="http://schemas.microsoft.com/office/drawing/2014/main" id="{7C827C37-504A-4A0D-A2DF-32B437928060}"/>
            </a:ext>
          </a:extLst>
        </cdr:cNvPr>
        <cdr:cNvSpPr/>
      </cdr:nvSpPr>
      <cdr:spPr>
        <a:xfrm xmlns:a="http://schemas.openxmlformats.org/drawingml/2006/main">
          <a:off x="2206256" y="682257"/>
          <a:ext cx="4580860" cy="458086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4">
            <a:lumMod val="40000"/>
            <a:lumOff val="60000"/>
          </a:schemeClr>
        </a:solidFill>
      </cdr:spPr>
      <cdr:style>
        <a:lnRef xmlns:a="http://schemas.openxmlformats.org/drawingml/2006/main" idx="2">
          <a:schemeClr val="accent4">
            <a:shade val="50000"/>
          </a:schemeClr>
        </a:lnRef>
        <a:fillRef xmlns:a="http://schemas.openxmlformats.org/drawingml/2006/main" idx="1">
          <a:schemeClr val="accent4"/>
        </a:fillRef>
        <a:effectRef xmlns:a="http://schemas.openxmlformats.org/drawingml/2006/main" idx="0">
          <a:schemeClr val="accent4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0.68319</cdr:x>
      <cdr:y>0.83071</cdr:y>
    </cdr:from>
    <cdr:to>
      <cdr:x>0.73785</cdr:x>
      <cdr:y>0.9144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A14E3479-3FAE-4CBE-9057-0F300B8F45FC}"/>
            </a:ext>
          </a:extLst>
        </cdr:cNvPr>
        <cdr:cNvSpPr txBox="1"/>
      </cdr:nvSpPr>
      <cdr:spPr>
        <a:xfrm xmlns:a="http://schemas.openxmlformats.org/drawingml/2006/main">
          <a:off x="6350000" y="50419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0.6176</cdr:x>
      <cdr:y>0.83071</cdr:y>
    </cdr:from>
    <cdr:to>
      <cdr:x>0.67226</cdr:x>
      <cdr:y>0.9144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26AE89A3-B88A-494C-8F32-52EAD19D94D4}"/>
            </a:ext>
          </a:extLst>
        </cdr:cNvPr>
        <cdr:cNvSpPr txBox="1"/>
      </cdr:nvSpPr>
      <cdr:spPr>
        <a:xfrm xmlns:a="http://schemas.openxmlformats.org/drawingml/2006/main">
          <a:off x="5740400" y="50419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0.55202</cdr:x>
      <cdr:y>0.83071</cdr:y>
    </cdr:from>
    <cdr:to>
      <cdr:x>0.60667</cdr:x>
      <cdr:y>0.9144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AFC703EB-7CB0-4562-A373-B75048297062}"/>
            </a:ext>
          </a:extLst>
        </cdr:cNvPr>
        <cdr:cNvSpPr txBox="1"/>
      </cdr:nvSpPr>
      <cdr:spPr>
        <a:xfrm xmlns:a="http://schemas.openxmlformats.org/drawingml/2006/main">
          <a:off x="5130800" y="50419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0.48643</cdr:x>
      <cdr:y>0.83071</cdr:y>
    </cdr:from>
    <cdr:to>
      <cdr:x>0.54109</cdr:x>
      <cdr:y>0.9144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EFF99A5C-9DAA-4CFA-89A5-31F6393C7317}"/>
            </a:ext>
          </a:extLst>
        </cdr:cNvPr>
        <cdr:cNvSpPr txBox="1"/>
      </cdr:nvSpPr>
      <cdr:spPr>
        <a:xfrm xmlns:a="http://schemas.openxmlformats.org/drawingml/2006/main">
          <a:off x="4521200" y="50419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0.42085</cdr:x>
      <cdr:y>0.83071</cdr:y>
    </cdr:from>
    <cdr:to>
      <cdr:x>0.4755</cdr:x>
      <cdr:y>0.9144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29D1A7D9-06D8-498B-9ED2-57B49EDBAC17}"/>
            </a:ext>
          </a:extLst>
        </cdr:cNvPr>
        <cdr:cNvSpPr txBox="1"/>
      </cdr:nvSpPr>
      <cdr:spPr>
        <a:xfrm xmlns:a="http://schemas.openxmlformats.org/drawingml/2006/main">
          <a:off x="3911600" y="50419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0.35526</cdr:x>
      <cdr:y>0.83071</cdr:y>
    </cdr:from>
    <cdr:to>
      <cdr:x>0.40991</cdr:x>
      <cdr:y>0.9144</cdr:y>
    </cdr:to>
    <cdr:sp macro="" textlink="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2B9A23D5-1212-451B-BD34-8A31AE44DCF5}"/>
            </a:ext>
          </a:extLst>
        </cdr:cNvPr>
        <cdr:cNvSpPr txBox="1"/>
      </cdr:nvSpPr>
      <cdr:spPr>
        <a:xfrm xmlns:a="http://schemas.openxmlformats.org/drawingml/2006/main">
          <a:off x="3302000" y="50419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0.28967</cdr:x>
      <cdr:y>0.83071</cdr:y>
    </cdr:from>
    <cdr:to>
      <cdr:x>0.34433</cdr:x>
      <cdr:y>0.9144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FEBBDAD4-ADD0-4846-9557-A6F9EB6B3EFB}"/>
            </a:ext>
          </a:extLst>
        </cdr:cNvPr>
        <cdr:cNvSpPr txBox="1"/>
      </cdr:nvSpPr>
      <cdr:spPr>
        <a:xfrm xmlns:a="http://schemas.openxmlformats.org/drawingml/2006/main">
          <a:off x="2692400" y="50419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0.22409</cdr:x>
      <cdr:y>0.83071</cdr:y>
    </cdr:from>
    <cdr:to>
      <cdr:x>0.27874</cdr:x>
      <cdr:y>0.9144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9622137A-5405-4AEC-A9FD-384C1C73D0BF}"/>
            </a:ext>
          </a:extLst>
        </cdr:cNvPr>
        <cdr:cNvSpPr txBox="1"/>
      </cdr:nvSpPr>
      <cdr:spPr>
        <a:xfrm xmlns:a="http://schemas.openxmlformats.org/drawingml/2006/main">
          <a:off x="2082800" y="50419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|</a:t>
          </a:r>
        </a:p>
      </cdr:txBody>
    </cdr:sp>
  </cdr:relSizeAnchor>
  <cdr:relSizeAnchor xmlns:cdr="http://schemas.openxmlformats.org/drawingml/2006/chartDrawing">
    <cdr:from>
      <cdr:x>0.67772</cdr:x>
      <cdr:y>0.86628</cdr:y>
    </cdr:from>
    <cdr:to>
      <cdr:x>0.73238</cdr:x>
      <cdr:y>0.94998</cdr:y>
    </cdr:to>
    <cdr:sp macro="" textlink="">
      <cdr:nvSpPr>
        <cdr:cNvPr id="11" name="TextBox 10">
          <a:extLst xmlns:a="http://schemas.openxmlformats.org/drawingml/2006/main">
            <a:ext uri="{FF2B5EF4-FFF2-40B4-BE49-F238E27FC236}">
              <a16:creationId xmlns:a16="http://schemas.microsoft.com/office/drawing/2014/main" id="{C1CC7B30-A685-43FB-A752-AD11526B1728}"/>
            </a:ext>
          </a:extLst>
        </cdr:cNvPr>
        <cdr:cNvSpPr txBox="1"/>
      </cdr:nvSpPr>
      <cdr:spPr>
        <a:xfrm xmlns:a="http://schemas.openxmlformats.org/drawingml/2006/main">
          <a:off x="6299200" y="52578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700</a:t>
          </a:r>
        </a:p>
      </cdr:txBody>
    </cdr:sp>
  </cdr:relSizeAnchor>
  <cdr:relSizeAnchor xmlns:cdr="http://schemas.openxmlformats.org/drawingml/2006/chartDrawing">
    <cdr:from>
      <cdr:x>0.61214</cdr:x>
      <cdr:y>0.86628</cdr:y>
    </cdr:from>
    <cdr:to>
      <cdr:x>0.66679</cdr:x>
      <cdr:y>0.94998</cdr:y>
    </cdr:to>
    <cdr:sp macro="" textlink="">
      <cdr:nvSpPr>
        <cdr:cNvPr id="12" name="TextBox 11">
          <a:extLst xmlns:a="http://schemas.openxmlformats.org/drawingml/2006/main">
            <a:ext uri="{FF2B5EF4-FFF2-40B4-BE49-F238E27FC236}">
              <a16:creationId xmlns:a16="http://schemas.microsoft.com/office/drawing/2014/main" id="{8E878BD2-3344-4159-8665-6EB945C6E859}"/>
            </a:ext>
          </a:extLst>
        </cdr:cNvPr>
        <cdr:cNvSpPr txBox="1"/>
      </cdr:nvSpPr>
      <cdr:spPr>
        <a:xfrm xmlns:a="http://schemas.openxmlformats.org/drawingml/2006/main">
          <a:off x="5689600" y="52578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600</a:t>
          </a:r>
        </a:p>
      </cdr:txBody>
    </cdr:sp>
  </cdr:relSizeAnchor>
  <cdr:relSizeAnchor xmlns:cdr="http://schemas.openxmlformats.org/drawingml/2006/chartDrawing">
    <cdr:from>
      <cdr:x>0.54655</cdr:x>
      <cdr:y>0.86628</cdr:y>
    </cdr:from>
    <cdr:to>
      <cdr:x>0.60121</cdr:x>
      <cdr:y>0.94998</cdr:y>
    </cdr:to>
    <cdr:sp macro="" textlink="">
      <cdr:nvSpPr>
        <cdr:cNvPr id="13" name="TextBox 12">
          <a:extLst xmlns:a="http://schemas.openxmlformats.org/drawingml/2006/main">
            <a:ext uri="{FF2B5EF4-FFF2-40B4-BE49-F238E27FC236}">
              <a16:creationId xmlns:a16="http://schemas.microsoft.com/office/drawing/2014/main" id="{06FB9B91-B093-4DD3-9A6D-B697E506EEBA}"/>
            </a:ext>
          </a:extLst>
        </cdr:cNvPr>
        <cdr:cNvSpPr txBox="1"/>
      </cdr:nvSpPr>
      <cdr:spPr>
        <a:xfrm xmlns:a="http://schemas.openxmlformats.org/drawingml/2006/main">
          <a:off x="5080000" y="52578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500</a:t>
          </a:r>
        </a:p>
      </cdr:txBody>
    </cdr:sp>
  </cdr:relSizeAnchor>
  <cdr:relSizeAnchor xmlns:cdr="http://schemas.openxmlformats.org/drawingml/2006/chartDrawing">
    <cdr:from>
      <cdr:x>0.48097</cdr:x>
      <cdr:y>0.86628</cdr:y>
    </cdr:from>
    <cdr:to>
      <cdr:x>0.53562</cdr:x>
      <cdr:y>0.94998</cdr:y>
    </cdr:to>
    <cdr:sp macro="" textlink="">
      <cdr:nvSpPr>
        <cdr:cNvPr id="14" name="TextBox 13">
          <a:extLst xmlns:a="http://schemas.openxmlformats.org/drawingml/2006/main">
            <a:ext uri="{FF2B5EF4-FFF2-40B4-BE49-F238E27FC236}">
              <a16:creationId xmlns:a16="http://schemas.microsoft.com/office/drawing/2014/main" id="{5360535C-84B4-4B69-ABD1-17AF5343CEAF}"/>
            </a:ext>
          </a:extLst>
        </cdr:cNvPr>
        <cdr:cNvSpPr txBox="1"/>
      </cdr:nvSpPr>
      <cdr:spPr>
        <a:xfrm xmlns:a="http://schemas.openxmlformats.org/drawingml/2006/main">
          <a:off x="4470400" y="52578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400</a:t>
          </a:r>
        </a:p>
      </cdr:txBody>
    </cdr:sp>
  </cdr:relSizeAnchor>
  <cdr:relSizeAnchor xmlns:cdr="http://schemas.openxmlformats.org/drawingml/2006/chartDrawing">
    <cdr:from>
      <cdr:x>0.41265</cdr:x>
      <cdr:y>0.86628</cdr:y>
    </cdr:from>
    <cdr:to>
      <cdr:x>0.4673</cdr:x>
      <cdr:y>0.94998</cdr:y>
    </cdr:to>
    <cdr:sp macro="" textlink="">
      <cdr:nvSpPr>
        <cdr:cNvPr id="15" name="TextBox 14">
          <a:extLst xmlns:a="http://schemas.openxmlformats.org/drawingml/2006/main">
            <a:ext uri="{FF2B5EF4-FFF2-40B4-BE49-F238E27FC236}">
              <a16:creationId xmlns:a16="http://schemas.microsoft.com/office/drawing/2014/main" id="{91939F59-CFBF-40A0-89E8-0E676BC0E539}"/>
            </a:ext>
          </a:extLst>
        </cdr:cNvPr>
        <cdr:cNvSpPr txBox="1"/>
      </cdr:nvSpPr>
      <cdr:spPr>
        <a:xfrm xmlns:a="http://schemas.openxmlformats.org/drawingml/2006/main">
          <a:off x="3835400" y="52578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300</a:t>
          </a:r>
        </a:p>
      </cdr:txBody>
    </cdr:sp>
  </cdr:relSizeAnchor>
  <cdr:relSizeAnchor xmlns:cdr="http://schemas.openxmlformats.org/drawingml/2006/chartDrawing">
    <cdr:from>
      <cdr:x>0.34979</cdr:x>
      <cdr:y>0.86628</cdr:y>
    </cdr:from>
    <cdr:to>
      <cdr:x>0.40445</cdr:x>
      <cdr:y>0.94998</cdr:y>
    </cdr:to>
    <cdr:sp macro="" textlink="">
      <cdr:nvSpPr>
        <cdr:cNvPr id="16" name="TextBox 15">
          <a:extLst xmlns:a="http://schemas.openxmlformats.org/drawingml/2006/main">
            <a:ext uri="{FF2B5EF4-FFF2-40B4-BE49-F238E27FC236}">
              <a16:creationId xmlns:a16="http://schemas.microsoft.com/office/drawing/2014/main" id="{E0EAC34A-90BE-4B8D-B7E7-703BB516779F}"/>
            </a:ext>
          </a:extLst>
        </cdr:cNvPr>
        <cdr:cNvSpPr txBox="1"/>
      </cdr:nvSpPr>
      <cdr:spPr>
        <a:xfrm xmlns:a="http://schemas.openxmlformats.org/drawingml/2006/main">
          <a:off x="3251200" y="52578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200</a:t>
          </a:r>
        </a:p>
      </cdr:txBody>
    </cdr:sp>
  </cdr:relSizeAnchor>
  <cdr:relSizeAnchor xmlns:cdr="http://schemas.openxmlformats.org/drawingml/2006/chartDrawing">
    <cdr:from>
      <cdr:x>0.28421</cdr:x>
      <cdr:y>0.86628</cdr:y>
    </cdr:from>
    <cdr:to>
      <cdr:x>0.33886</cdr:x>
      <cdr:y>0.94998</cdr:y>
    </cdr:to>
    <cdr:sp macro="" textlink="">
      <cdr:nvSpPr>
        <cdr:cNvPr id="17" name="TextBox 16">
          <a:extLst xmlns:a="http://schemas.openxmlformats.org/drawingml/2006/main">
            <a:ext uri="{FF2B5EF4-FFF2-40B4-BE49-F238E27FC236}">
              <a16:creationId xmlns:a16="http://schemas.microsoft.com/office/drawing/2014/main" id="{7D0C5A52-87AA-40C1-962C-591FD86192D7}"/>
            </a:ext>
          </a:extLst>
        </cdr:cNvPr>
        <cdr:cNvSpPr txBox="1"/>
      </cdr:nvSpPr>
      <cdr:spPr>
        <a:xfrm xmlns:a="http://schemas.openxmlformats.org/drawingml/2006/main">
          <a:off x="2641600" y="52578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100</a:t>
          </a:r>
        </a:p>
      </cdr:txBody>
    </cdr:sp>
  </cdr:relSizeAnchor>
  <cdr:relSizeAnchor xmlns:cdr="http://schemas.openxmlformats.org/drawingml/2006/chartDrawing">
    <cdr:from>
      <cdr:x>0.22409</cdr:x>
      <cdr:y>0.86628</cdr:y>
    </cdr:from>
    <cdr:to>
      <cdr:x>0.27874</cdr:x>
      <cdr:y>0.94998</cdr:y>
    </cdr:to>
    <cdr:sp macro="" textlink="">
      <cdr:nvSpPr>
        <cdr:cNvPr id="18" name="TextBox 17">
          <a:extLst xmlns:a="http://schemas.openxmlformats.org/drawingml/2006/main">
            <a:ext uri="{FF2B5EF4-FFF2-40B4-BE49-F238E27FC236}">
              <a16:creationId xmlns:a16="http://schemas.microsoft.com/office/drawing/2014/main" id="{1E4EACBA-8477-47FC-963D-2BA5550D6236}"/>
            </a:ext>
          </a:extLst>
        </cdr:cNvPr>
        <cdr:cNvSpPr txBox="1"/>
      </cdr:nvSpPr>
      <cdr:spPr>
        <a:xfrm xmlns:a="http://schemas.openxmlformats.org/drawingml/2006/main">
          <a:off x="2082800" y="52578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0</a:t>
          </a:r>
        </a:p>
      </cdr:txBody>
    </cdr:sp>
  </cdr:relSizeAnchor>
  <cdr:relSizeAnchor xmlns:cdr="http://schemas.openxmlformats.org/drawingml/2006/chartDrawing">
    <cdr:from>
      <cdr:x>0.2275</cdr:x>
      <cdr:y>0.83698</cdr:y>
    </cdr:from>
    <cdr:to>
      <cdr:x>0.28216</cdr:x>
      <cdr:y>0.92068</cdr:y>
    </cdr:to>
    <cdr:sp macro="" textlink="">
      <cdr:nvSpPr>
        <cdr:cNvPr id="19" name="TextBox 18">
          <a:extLst xmlns:a="http://schemas.openxmlformats.org/drawingml/2006/main">
            <a:ext uri="{FF2B5EF4-FFF2-40B4-BE49-F238E27FC236}">
              <a16:creationId xmlns:a16="http://schemas.microsoft.com/office/drawing/2014/main" id="{8F5A0288-6A0E-4A21-B3E9-8720B1EDEEAF}"/>
            </a:ext>
          </a:extLst>
        </cdr:cNvPr>
        <cdr:cNvSpPr txBox="1"/>
      </cdr:nvSpPr>
      <cdr:spPr>
        <a:xfrm xmlns:a="http://schemas.openxmlformats.org/drawingml/2006/main">
          <a:off x="2114550" y="50800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0.2275</cdr:x>
      <cdr:y>0.73654</cdr:y>
    </cdr:from>
    <cdr:to>
      <cdr:x>0.28216</cdr:x>
      <cdr:y>0.82024</cdr:y>
    </cdr:to>
    <cdr:sp macro="" textlink="">
      <cdr:nvSpPr>
        <cdr:cNvPr id="20" name="TextBox 19">
          <a:extLst xmlns:a="http://schemas.openxmlformats.org/drawingml/2006/main">
            <a:ext uri="{FF2B5EF4-FFF2-40B4-BE49-F238E27FC236}">
              <a16:creationId xmlns:a16="http://schemas.microsoft.com/office/drawing/2014/main" id="{42E029F3-AD75-4E00-9ECD-A802E2D1D2A9}"/>
            </a:ext>
          </a:extLst>
        </cdr:cNvPr>
        <cdr:cNvSpPr txBox="1"/>
      </cdr:nvSpPr>
      <cdr:spPr>
        <a:xfrm xmlns:a="http://schemas.openxmlformats.org/drawingml/2006/main">
          <a:off x="2114550" y="44704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0.2275</cdr:x>
      <cdr:y>0.63611</cdr:y>
    </cdr:from>
    <cdr:to>
      <cdr:x>0.28216</cdr:x>
      <cdr:y>0.71981</cdr:y>
    </cdr:to>
    <cdr:sp macro="" textlink="">
      <cdr:nvSpPr>
        <cdr:cNvPr id="21" name="TextBox 20">
          <a:extLst xmlns:a="http://schemas.openxmlformats.org/drawingml/2006/main">
            <a:ext uri="{FF2B5EF4-FFF2-40B4-BE49-F238E27FC236}">
              <a16:creationId xmlns:a16="http://schemas.microsoft.com/office/drawing/2014/main" id="{697D9C86-4B7C-40C5-974C-7838D2760288}"/>
            </a:ext>
          </a:extLst>
        </cdr:cNvPr>
        <cdr:cNvSpPr txBox="1"/>
      </cdr:nvSpPr>
      <cdr:spPr>
        <a:xfrm xmlns:a="http://schemas.openxmlformats.org/drawingml/2006/main">
          <a:off x="2114550" y="38608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0.2275</cdr:x>
      <cdr:y>0.53567</cdr:y>
    </cdr:from>
    <cdr:to>
      <cdr:x>0.28216</cdr:x>
      <cdr:y>0.61937</cdr:y>
    </cdr:to>
    <cdr:sp macro="" textlink="">
      <cdr:nvSpPr>
        <cdr:cNvPr id="22" name="TextBox 21">
          <a:extLst xmlns:a="http://schemas.openxmlformats.org/drawingml/2006/main">
            <a:ext uri="{FF2B5EF4-FFF2-40B4-BE49-F238E27FC236}">
              <a16:creationId xmlns:a16="http://schemas.microsoft.com/office/drawing/2014/main" id="{E44F7931-6F57-4A40-A400-EDCF73FD00C8}"/>
            </a:ext>
          </a:extLst>
        </cdr:cNvPr>
        <cdr:cNvSpPr txBox="1"/>
      </cdr:nvSpPr>
      <cdr:spPr>
        <a:xfrm xmlns:a="http://schemas.openxmlformats.org/drawingml/2006/main">
          <a:off x="2114550" y="32512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0.2275</cdr:x>
      <cdr:y>0.43523</cdr:y>
    </cdr:from>
    <cdr:to>
      <cdr:x>0.28216</cdr:x>
      <cdr:y>0.51893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DAECCD16-97B7-41DF-8450-6A62C4C9408B}"/>
            </a:ext>
          </a:extLst>
        </cdr:cNvPr>
        <cdr:cNvSpPr txBox="1"/>
      </cdr:nvSpPr>
      <cdr:spPr>
        <a:xfrm xmlns:a="http://schemas.openxmlformats.org/drawingml/2006/main">
          <a:off x="2114550" y="26416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0.2275</cdr:x>
      <cdr:y>0.33479</cdr:y>
    </cdr:from>
    <cdr:to>
      <cdr:x>0.28216</cdr:x>
      <cdr:y>0.41849</cdr:y>
    </cdr:to>
    <cdr:sp macro="" textlink="">
      <cdr:nvSpPr>
        <cdr:cNvPr id="24" name="TextBox 23">
          <a:extLst xmlns:a="http://schemas.openxmlformats.org/drawingml/2006/main">
            <a:ext uri="{FF2B5EF4-FFF2-40B4-BE49-F238E27FC236}">
              <a16:creationId xmlns:a16="http://schemas.microsoft.com/office/drawing/2014/main" id="{E493598B-ED01-4D9C-9FE1-7A5F871EEA7C}"/>
            </a:ext>
          </a:extLst>
        </cdr:cNvPr>
        <cdr:cNvSpPr txBox="1"/>
      </cdr:nvSpPr>
      <cdr:spPr>
        <a:xfrm xmlns:a="http://schemas.openxmlformats.org/drawingml/2006/main">
          <a:off x="2114550" y="20320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0.2275</cdr:x>
      <cdr:y>0.23436</cdr:y>
    </cdr:from>
    <cdr:to>
      <cdr:x>0.28216</cdr:x>
      <cdr:y>0.31805</cdr:y>
    </cdr:to>
    <cdr:sp macro="" textlink="">
      <cdr:nvSpPr>
        <cdr:cNvPr id="25" name="TextBox 24">
          <a:extLst xmlns:a="http://schemas.openxmlformats.org/drawingml/2006/main">
            <a:ext uri="{FF2B5EF4-FFF2-40B4-BE49-F238E27FC236}">
              <a16:creationId xmlns:a16="http://schemas.microsoft.com/office/drawing/2014/main" id="{46ED755D-26BE-47B8-8C5B-519274BB6179}"/>
            </a:ext>
          </a:extLst>
        </cdr:cNvPr>
        <cdr:cNvSpPr txBox="1"/>
      </cdr:nvSpPr>
      <cdr:spPr>
        <a:xfrm xmlns:a="http://schemas.openxmlformats.org/drawingml/2006/main">
          <a:off x="2114550" y="14224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0.2275</cdr:x>
      <cdr:y>0.13392</cdr:y>
    </cdr:from>
    <cdr:to>
      <cdr:x>0.28216</cdr:x>
      <cdr:y>0.21762</cdr:y>
    </cdr:to>
    <cdr:sp macro="" textlink="">
      <cdr:nvSpPr>
        <cdr:cNvPr id="26" name="TextBox 25">
          <a:extLst xmlns:a="http://schemas.openxmlformats.org/drawingml/2006/main">
            <a:ext uri="{FF2B5EF4-FFF2-40B4-BE49-F238E27FC236}">
              <a16:creationId xmlns:a16="http://schemas.microsoft.com/office/drawing/2014/main" id="{9F5A0725-1CDA-4C4D-BD10-17C6CA76A6FD}"/>
            </a:ext>
          </a:extLst>
        </cdr:cNvPr>
        <cdr:cNvSpPr txBox="1"/>
      </cdr:nvSpPr>
      <cdr:spPr>
        <a:xfrm xmlns:a="http://schemas.openxmlformats.org/drawingml/2006/main">
          <a:off x="2114550" y="8128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300" b="1"/>
            <a:t>--</a:t>
          </a:r>
        </a:p>
      </cdr:txBody>
    </cdr:sp>
  </cdr:relSizeAnchor>
  <cdr:relSizeAnchor xmlns:cdr="http://schemas.openxmlformats.org/drawingml/2006/chartDrawing">
    <cdr:from>
      <cdr:x>0.21179</cdr:x>
      <cdr:y>0.84117</cdr:y>
    </cdr:from>
    <cdr:to>
      <cdr:x>0.26644</cdr:x>
      <cdr:y>0.92487</cdr:y>
    </cdr:to>
    <cdr:sp macro="" textlink="">
      <cdr:nvSpPr>
        <cdr:cNvPr id="27" name="TextBox 26">
          <a:extLst xmlns:a="http://schemas.openxmlformats.org/drawingml/2006/main">
            <a:ext uri="{FF2B5EF4-FFF2-40B4-BE49-F238E27FC236}">
              <a16:creationId xmlns:a16="http://schemas.microsoft.com/office/drawing/2014/main" id="{949D0930-9F53-48D7-A989-F69A6105F6D8}"/>
            </a:ext>
          </a:extLst>
        </cdr:cNvPr>
        <cdr:cNvSpPr txBox="1"/>
      </cdr:nvSpPr>
      <cdr:spPr>
        <a:xfrm xmlns:a="http://schemas.openxmlformats.org/drawingml/2006/main">
          <a:off x="1968500" y="51054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0</a:t>
          </a:r>
        </a:p>
      </cdr:txBody>
    </cdr:sp>
  </cdr:relSizeAnchor>
  <cdr:relSizeAnchor xmlns:cdr="http://schemas.openxmlformats.org/drawingml/2006/chartDrawing">
    <cdr:from>
      <cdr:x>0.19676</cdr:x>
      <cdr:y>0.74073</cdr:y>
    </cdr:from>
    <cdr:to>
      <cdr:x>0.25141</cdr:x>
      <cdr:y>0.82443</cdr:y>
    </cdr:to>
    <cdr:sp macro="" textlink="">
      <cdr:nvSpPr>
        <cdr:cNvPr id="28" name="TextBox 27">
          <a:extLst xmlns:a="http://schemas.openxmlformats.org/drawingml/2006/main">
            <a:ext uri="{FF2B5EF4-FFF2-40B4-BE49-F238E27FC236}">
              <a16:creationId xmlns:a16="http://schemas.microsoft.com/office/drawing/2014/main" id="{D7520861-7477-435C-8AAA-031890FD0213}"/>
            </a:ext>
          </a:extLst>
        </cdr:cNvPr>
        <cdr:cNvSpPr txBox="1"/>
      </cdr:nvSpPr>
      <cdr:spPr>
        <a:xfrm xmlns:a="http://schemas.openxmlformats.org/drawingml/2006/main">
          <a:off x="1828800" y="44958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100</a:t>
          </a:r>
        </a:p>
      </cdr:txBody>
    </cdr:sp>
  </cdr:relSizeAnchor>
  <cdr:relSizeAnchor xmlns:cdr="http://schemas.openxmlformats.org/drawingml/2006/chartDrawing">
    <cdr:from>
      <cdr:x>0.19676</cdr:x>
      <cdr:y>0.64029</cdr:y>
    </cdr:from>
    <cdr:to>
      <cdr:x>0.25141</cdr:x>
      <cdr:y>0.72399</cdr:y>
    </cdr:to>
    <cdr:sp macro="" textlink="">
      <cdr:nvSpPr>
        <cdr:cNvPr id="29" name="TextBox 28">
          <a:extLst xmlns:a="http://schemas.openxmlformats.org/drawingml/2006/main">
            <a:ext uri="{FF2B5EF4-FFF2-40B4-BE49-F238E27FC236}">
              <a16:creationId xmlns:a16="http://schemas.microsoft.com/office/drawing/2014/main" id="{E6DC69EE-A632-4828-ADD0-AF99B5B28077}"/>
            </a:ext>
          </a:extLst>
        </cdr:cNvPr>
        <cdr:cNvSpPr txBox="1"/>
      </cdr:nvSpPr>
      <cdr:spPr>
        <a:xfrm xmlns:a="http://schemas.openxmlformats.org/drawingml/2006/main">
          <a:off x="1828800" y="38862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200</a:t>
          </a:r>
        </a:p>
      </cdr:txBody>
    </cdr:sp>
  </cdr:relSizeAnchor>
  <cdr:relSizeAnchor xmlns:cdr="http://schemas.openxmlformats.org/drawingml/2006/chartDrawing">
    <cdr:from>
      <cdr:x>0.19676</cdr:x>
      <cdr:y>0.53985</cdr:y>
    </cdr:from>
    <cdr:to>
      <cdr:x>0.25141</cdr:x>
      <cdr:y>0.62355</cdr:y>
    </cdr:to>
    <cdr:sp macro="" textlink="">
      <cdr:nvSpPr>
        <cdr:cNvPr id="30" name="TextBox 29">
          <a:extLst xmlns:a="http://schemas.openxmlformats.org/drawingml/2006/main">
            <a:ext uri="{FF2B5EF4-FFF2-40B4-BE49-F238E27FC236}">
              <a16:creationId xmlns:a16="http://schemas.microsoft.com/office/drawing/2014/main" id="{9CFDE4AB-EFCD-4B44-A43F-DDC40B05EA43}"/>
            </a:ext>
          </a:extLst>
        </cdr:cNvPr>
        <cdr:cNvSpPr txBox="1"/>
      </cdr:nvSpPr>
      <cdr:spPr>
        <a:xfrm xmlns:a="http://schemas.openxmlformats.org/drawingml/2006/main">
          <a:off x="1828800" y="32766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300</a:t>
          </a:r>
        </a:p>
      </cdr:txBody>
    </cdr:sp>
  </cdr:relSizeAnchor>
  <cdr:relSizeAnchor xmlns:cdr="http://schemas.openxmlformats.org/drawingml/2006/chartDrawing">
    <cdr:from>
      <cdr:x>0.19676</cdr:x>
      <cdr:y>0.43942</cdr:y>
    </cdr:from>
    <cdr:to>
      <cdr:x>0.25141</cdr:x>
      <cdr:y>0.52311</cdr:y>
    </cdr:to>
    <cdr:sp macro="" textlink="">
      <cdr:nvSpPr>
        <cdr:cNvPr id="31" name="TextBox 30">
          <a:extLst xmlns:a="http://schemas.openxmlformats.org/drawingml/2006/main">
            <a:ext uri="{FF2B5EF4-FFF2-40B4-BE49-F238E27FC236}">
              <a16:creationId xmlns:a16="http://schemas.microsoft.com/office/drawing/2014/main" id="{B3A773F7-D1C1-4A79-AA26-98B2B482EBAA}"/>
            </a:ext>
          </a:extLst>
        </cdr:cNvPr>
        <cdr:cNvSpPr txBox="1"/>
      </cdr:nvSpPr>
      <cdr:spPr>
        <a:xfrm xmlns:a="http://schemas.openxmlformats.org/drawingml/2006/main">
          <a:off x="1828800" y="26670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400</a:t>
          </a:r>
        </a:p>
      </cdr:txBody>
    </cdr:sp>
  </cdr:relSizeAnchor>
  <cdr:relSizeAnchor xmlns:cdr="http://schemas.openxmlformats.org/drawingml/2006/chartDrawing">
    <cdr:from>
      <cdr:x>0.19676</cdr:x>
      <cdr:y>0.33898</cdr:y>
    </cdr:from>
    <cdr:to>
      <cdr:x>0.25141</cdr:x>
      <cdr:y>0.42268</cdr:y>
    </cdr:to>
    <cdr:sp macro="" textlink="">
      <cdr:nvSpPr>
        <cdr:cNvPr id="32" name="TextBox 31">
          <a:extLst xmlns:a="http://schemas.openxmlformats.org/drawingml/2006/main">
            <a:ext uri="{FF2B5EF4-FFF2-40B4-BE49-F238E27FC236}">
              <a16:creationId xmlns:a16="http://schemas.microsoft.com/office/drawing/2014/main" id="{A636E58F-777A-4875-B696-621ED86E6FDB}"/>
            </a:ext>
          </a:extLst>
        </cdr:cNvPr>
        <cdr:cNvSpPr txBox="1"/>
      </cdr:nvSpPr>
      <cdr:spPr>
        <a:xfrm xmlns:a="http://schemas.openxmlformats.org/drawingml/2006/main">
          <a:off x="1828800" y="20574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500</a:t>
          </a:r>
        </a:p>
      </cdr:txBody>
    </cdr:sp>
  </cdr:relSizeAnchor>
  <cdr:relSizeAnchor xmlns:cdr="http://schemas.openxmlformats.org/drawingml/2006/chartDrawing">
    <cdr:from>
      <cdr:x>0.19676</cdr:x>
      <cdr:y>0.23854</cdr:y>
    </cdr:from>
    <cdr:to>
      <cdr:x>0.25141</cdr:x>
      <cdr:y>0.32224</cdr:y>
    </cdr:to>
    <cdr:sp macro="" textlink="">
      <cdr:nvSpPr>
        <cdr:cNvPr id="33" name="TextBox 32">
          <a:extLst xmlns:a="http://schemas.openxmlformats.org/drawingml/2006/main">
            <a:ext uri="{FF2B5EF4-FFF2-40B4-BE49-F238E27FC236}">
              <a16:creationId xmlns:a16="http://schemas.microsoft.com/office/drawing/2014/main" id="{CF506A76-3D9D-4F28-B318-2786428F75B2}"/>
            </a:ext>
          </a:extLst>
        </cdr:cNvPr>
        <cdr:cNvSpPr txBox="1"/>
      </cdr:nvSpPr>
      <cdr:spPr>
        <a:xfrm xmlns:a="http://schemas.openxmlformats.org/drawingml/2006/main">
          <a:off x="1828800" y="14478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600</a:t>
          </a:r>
        </a:p>
      </cdr:txBody>
    </cdr:sp>
  </cdr:relSizeAnchor>
  <cdr:relSizeAnchor xmlns:cdr="http://schemas.openxmlformats.org/drawingml/2006/chartDrawing">
    <cdr:from>
      <cdr:x>0.19676</cdr:x>
      <cdr:y>0.1381</cdr:y>
    </cdr:from>
    <cdr:to>
      <cdr:x>0.25141</cdr:x>
      <cdr:y>0.2218</cdr:y>
    </cdr:to>
    <cdr:sp macro="" textlink="">
      <cdr:nvSpPr>
        <cdr:cNvPr id="34" name="TextBox 33">
          <a:extLst xmlns:a="http://schemas.openxmlformats.org/drawingml/2006/main">
            <a:ext uri="{FF2B5EF4-FFF2-40B4-BE49-F238E27FC236}">
              <a16:creationId xmlns:a16="http://schemas.microsoft.com/office/drawing/2014/main" id="{181359EF-5BF3-415B-B57D-059883123AD5}"/>
            </a:ext>
          </a:extLst>
        </cdr:cNvPr>
        <cdr:cNvSpPr txBox="1"/>
      </cdr:nvSpPr>
      <cdr:spPr>
        <a:xfrm xmlns:a="http://schemas.openxmlformats.org/drawingml/2006/main">
          <a:off x="1828800" y="838200"/>
          <a:ext cx="508000" cy="508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GB" sz="1200"/>
            <a:t>700</a:t>
          </a:r>
        </a:p>
      </cdr:txBody>
    </cdr:sp>
  </cdr:relSizeAnchor>
  <cdr:relSizeAnchor xmlns:cdr="http://schemas.openxmlformats.org/drawingml/2006/chartDrawing">
    <cdr:from>
      <cdr:x>0.23832</cdr:x>
      <cdr:y>0.29781</cdr:y>
    </cdr:from>
    <cdr:to>
      <cdr:x>0.73022</cdr:x>
      <cdr:y>0.29781</cdr:y>
    </cdr:to>
    <cdr:cxnSp macro="">
      <cdr:nvCxnSpPr>
        <cdr:cNvPr id="40" name="Straight Arrow Connector 39">
          <a:extLst xmlns:a="http://schemas.openxmlformats.org/drawingml/2006/main">
            <a:ext uri="{FF2B5EF4-FFF2-40B4-BE49-F238E27FC236}">
              <a16:creationId xmlns:a16="http://schemas.microsoft.com/office/drawing/2014/main" id="{77E05F74-9870-4157-8E69-968B24D960C6}"/>
            </a:ext>
          </a:extLst>
        </cdr:cNvPr>
        <cdr:cNvCxnSpPr/>
      </cdr:nvCxnSpPr>
      <cdr:spPr>
        <a:xfrm xmlns:a="http://schemas.openxmlformats.org/drawingml/2006/main" flipV="1">
          <a:off x="2215116" y="1807535"/>
          <a:ext cx="4572000" cy="1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triangle"/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0.39657</cdr:x>
      <cdr:y>0.19231</cdr:y>
    </cdr:from>
    <cdr:to>
      <cdr:x>0.60534</cdr:x>
      <cdr:y>0.27844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42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81AC1FD-B5E9-4E39-A83C-42D1B537A19C}"/>
                </a:ext>
              </a:extLst>
            </cdr:cNvPr>
            <cdr:cNvSpPr txBox="1"/>
          </cdr:nvSpPr>
          <cdr:spPr>
            <a:xfrm xmlns:a="http://schemas.openxmlformats.org/drawingml/2006/main">
              <a:off x="3685953" y="1167210"/>
              <a:ext cx="1940443" cy="522759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eaLnBrk="1" fontAlgn="auto" latinLnBrk="0" hangingPunct="1"/>
              <a:r>
                <a:rPr lang="en-GB" sz="1200" baseline="0">
                  <a:effectLst/>
                  <a:latin typeface="+mn-lt"/>
                  <a:ea typeface="+mn-ea"/>
                  <a:cs typeface="+mn-cs"/>
                </a:rPr>
                <a:t>Floodways: </a:t>
              </a:r>
              <a:endParaRPr lang="en-GB" sz="1200">
                <a:effectLst/>
              </a:endParaRPr>
            </a:p>
            <a:p xmlns:a="http://schemas.openxmlformats.org/drawingml/2006/main">
              <a:pPr eaLnBrk="1" fontAlgn="auto" latinLnBrk="0" hangingPunct="1"/>
              <a:r>
                <a:rPr lang="en-GB" sz="1200" b="1" baseline="0">
                  <a:effectLst/>
                  <a:latin typeface="+mn-lt"/>
                  <a:ea typeface="+mn-ea"/>
                  <a:cs typeface="+mn-cs"/>
                </a:rPr>
                <a:t>100%, </a:t>
              </a:r>
              <a:r>
                <a:rPr lang="en-GB" sz="1100">
                  <a:effectLst/>
                  <a:latin typeface="+mn-lt"/>
                  <a:ea typeface="+mn-ea"/>
                  <a:cs typeface="+mn-cs"/>
                </a:rPr>
                <a:t>4.9 hrs at </a:t>
              </a:r>
              <a:r>
                <a:rPr lang="en-GB" sz="1200">
                  <a:effectLst/>
                  <a:latin typeface="+mn-lt"/>
                  <a:ea typeface="+mn-ea"/>
                  <a:cs typeface="+mn-cs"/>
                </a:rPr>
                <a:t>60</a:t>
              </a:r>
              <a14:m>
                <m:oMath xmlns:m="http://schemas.openxmlformats.org/officeDocument/2006/math">
                  <m:r>
                    <a:rPr lang="en-GB" sz="1200" b="0" i="0"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sSup>
                    <m:sSupPr>
                      <m:ctrlPr>
                        <a:rPr lang="en-GB" sz="1200" i="1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m:rPr>
                          <m:sty m:val="p"/>
                        </m:rPr>
                        <a:rPr lang="en-GB" sz="120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m</m:t>
                      </m:r>
                    </m:e>
                    <m:sup>
                      <m:r>
                        <a:rPr lang="en-GB" sz="1200"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3</m:t>
                      </m:r>
                    </m:sup>
                  </m:sSup>
                </m:oMath>
              </a14:m>
              <a:r>
                <a:rPr lang="en-GB" sz="1200">
                  <a:effectLst/>
                  <a:latin typeface="+mn-lt"/>
                  <a:ea typeface="+mn-ea"/>
                  <a:cs typeface="+mn-cs"/>
                </a:rPr>
                <a:t>/s </a:t>
              </a:r>
              <a:endParaRPr lang="en-GB" sz="1200">
                <a:effectLst/>
              </a:endParaRPr>
            </a:p>
            <a:p xmlns:a="http://schemas.openxmlformats.org/drawingml/2006/main">
              <a:endParaRPr lang="en-GB" sz="1200"/>
            </a:p>
          </cdr:txBody>
        </cdr:sp>
      </mc:Choice>
      <mc:Fallback>
        <cdr:sp macro="" textlink="">
          <cdr:nvSpPr>
            <cdr:cNvPr id="42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81AC1FD-B5E9-4E39-A83C-42D1B537A19C}"/>
                </a:ext>
              </a:extLst>
            </cdr:cNvPr>
            <cdr:cNvSpPr txBox="1"/>
          </cdr:nvSpPr>
          <cdr:spPr>
            <a:xfrm xmlns:a="http://schemas.openxmlformats.org/drawingml/2006/main">
              <a:off x="3685953" y="1167210"/>
              <a:ext cx="1940443" cy="522759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eaLnBrk="1" fontAlgn="auto" latinLnBrk="0" hangingPunct="1"/>
              <a:r>
                <a:rPr lang="en-GB" sz="1200" baseline="0">
                  <a:effectLst/>
                  <a:latin typeface="+mn-lt"/>
                  <a:ea typeface="+mn-ea"/>
                  <a:cs typeface="+mn-cs"/>
                </a:rPr>
                <a:t>Floodways: </a:t>
              </a:r>
              <a:endParaRPr lang="en-GB" sz="1200">
                <a:effectLst/>
              </a:endParaRPr>
            </a:p>
            <a:p xmlns:a="http://schemas.openxmlformats.org/drawingml/2006/main">
              <a:pPr eaLnBrk="1" fontAlgn="auto" latinLnBrk="0" hangingPunct="1"/>
              <a:r>
                <a:rPr lang="en-GB" sz="1200" b="1" baseline="0">
                  <a:effectLst/>
                  <a:latin typeface="+mn-lt"/>
                  <a:ea typeface="+mn-ea"/>
                  <a:cs typeface="+mn-cs"/>
                </a:rPr>
                <a:t>100%, </a:t>
              </a:r>
              <a:r>
                <a:rPr lang="en-GB" sz="1100">
                  <a:effectLst/>
                  <a:latin typeface="+mn-lt"/>
                  <a:ea typeface="+mn-ea"/>
                  <a:cs typeface="+mn-cs"/>
                </a:rPr>
                <a:t>4.9 hrs at </a:t>
              </a:r>
              <a:r>
                <a:rPr lang="en-GB" sz="1200">
                  <a:effectLst/>
                  <a:latin typeface="+mn-lt"/>
                  <a:ea typeface="+mn-ea"/>
                  <a:cs typeface="+mn-cs"/>
                </a:rPr>
                <a:t>60</a:t>
              </a:r>
              <a:r>
                <a:rPr lang="en-GB" sz="1200" b="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GB" sz="1200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m^3</a:t>
              </a:r>
              <a:r>
                <a:rPr lang="en-GB" sz="1200">
                  <a:effectLst/>
                  <a:latin typeface="+mn-lt"/>
                  <a:ea typeface="+mn-ea"/>
                  <a:cs typeface="+mn-cs"/>
                </a:rPr>
                <a:t>/s </a:t>
              </a:r>
              <a:endParaRPr lang="en-GB" sz="1200">
                <a:effectLst/>
              </a:endParaRPr>
            </a:p>
            <a:p xmlns:a="http://schemas.openxmlformats.org/drawingml/2006/main">
              <a:endParaRPr lang="en-GB" sz="1200"/>
            </a:p>
          </cdr:txBody>
        </cdr:sp>
      </mc:Fallback>
    </mc:AlternateContent>
  </cdr:relSizeAnchor>
  <cdr:relSizeAnchor xmlns:cdr="http://schemas.openxmlformats.org/drawingml/2006/chartDrawing">
    <cdr:from>
      <cdr:x>0.4068</cdr:x>
      <cdr:y>0.33392</cdr:y>
    </cdr:from>
    <cdr:to>
      <cdr:x>0.56911</cdr:x>
      <cdr:y>0.38209</cdr:y>
    </cdr:to>
    <cdr:sp macro="" textlink="">
      <cdr:nvSpPr>
        <cdr:cNvPr id="43" name="TextBox 1">
          <a:extLst xmlns:a="http://schemas.openxmlformats.org/drawingml/2006/main">
            <a:ext uri="{FF2B5EF4-FFF2-40B4-BE49-F238E27FC236}">
              <a16:creationId xmlns:a16="http://schemas.microsoft.com/office/drawing/2014/main" id="{37C3BE68-EFC8-4E8A-8064-24034193BAC9}"/>
            </a:ext>
          </a:extLst>
        </cdr:cNvPr>
        <cdr:cNvSpPr txBox="1"/>
      </cdr:nvSpPr>
      <cdr:spPr>
        <a:xfrm xmlns:a="http://schemas.openxmlformats.org/drawingml/2006/main">
          <a:off x="3781056" y="2026684"/>
          <a:ext cx="1508642" cy="2923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100" b="1">
              <a:effectLst/>
              <a:latin typeface="+mn-lt"/>
              <a:ea typeface="+mn-ea"/>
              <a:cs typeface="+mn-cs"/>
            </a:rPr>
            <a:t>£4.6M</a:t>
          </a:r>
          <a:r>
            <a:rPr lang="en-GB" sz="1100" b="1" baseline="0"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 baseline="0">
              <a:effectLst/>
              <a:latin typeface="+mn-lt"/>
              <a:ea typeface="+mn-ea"/>
              <a:cs typeface="+mn-cs"/>
            </a:rPr>
            <a:t>at</a:t>
          </a:r>
          <a:r>
            <a:rPr lang="en-GB" sz="1100" b="1" baseline="0">
              <a:effectLst/>
              <a:latin typeface="+mn-lt"/>
              <a:ea typeface="+mn-ea"/>
              <a:cs typeface="+mn-cs"/>
            </a:rPr>
            <a:t> </a:t>
          </a:r>
          <a:r>
            <a:rPr lang="en-GB" sz="1100" b="1">
              <a:effectLst/>
              <a:latin typeface="+mn-lt"/>
              <a:ea typeface="+mn-ea"/>
              <a:cs typeface="+mn-cs"/>
            </a:rPr>
            <a:t>£0.04M/%</a:t>
          </a:r>
          <a:r>
            <a:rPr lang="en-GB" sz="1100">
              <a:effectLst/>
              <a:latin typeface="+mn-lt"/>
              <a:ea typeface="+mn-ea"/>
              <a:cs typeface="+mn-cs"/>
            </a:rPr>
            <a:t> </a:t>
          </a:r>
          <a:endParaRPr lang="en-GB" sz="1100"/>
        </a:p>
      </cdr:txBody>
    </cdr:sp>
  </cdr:relSizeAnchor>
  <cdr:relSizeAnchor xmlns:cdr="http://schemas.openxmlformats.org/drawingml/2006/chartDrawing">
    <cdr:from>
      <cdr:x>0.41538</cdr:x>
      <cdr:y>0.92516</cdr:y>
    </cdr:from>
    <cdr:to>
      <cdr:x>0.57267</cdr:x>
      <cdr:y>0.97333</cdr:y>
    </cdr:to>
    <cdr:sp macro="" textlink="">
      <cdr:nvSpPr>
        <cdr:cNvPr id="44" name="TextBox 1">
          <a:extLst xmlns:a="http://schemas.openxmlformats.org/drawingml/2006/main">
            <a:ext uri="{FF2B5EF4-FFF2-40B4-BE49-F238E27FC236}">
              <a16:creationId xmlns:a16="http://schemas.microsoft.com/office/drawing/2014/main" id="{ED6674F1-AAE8-41BC-8472-A57500A2835D}"/>
            </a:ext>
          </a:extLst>
        </cdr:cNvPr>
        <cdr:cNvSpPr txBox="1"/>
      </cdr:nvSpPr>
      <cdr:spPr>
        <a:xfrm xmlns:a="http://schemas.openxmlformats.org/drawingml/2006/main">
          <a:off x="3860800" y="5615172"/>
          <a:ext cx="1461976" cy="29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400">
              <a:latin typeface="Arial" panose="020B0604020202020204" pitchFamily="34" charset="0"/>
              <a:cs typeface="Arial" panose="020B0604020202020204" pitchFamily="34" charset="0"/>
            </a:rPr>
            <a:t>Sidelength (m)</a:t>
          </a:r>
        </a:p>
      </cdr:txBody>
    </cdr:sp>
  </cdr:relSizeAnchor>
  <cdr:relSizeAnchor xmlns:cdr="http://schemas.openxmlformats.org/drawingml/2006/chartDrawing">
    <cdr:from>
      <cdr:x>0.14846</cdr:x>
      <cdr:y>0.3529</cdr:y>
    </cdr:from>
    <cdr:to>
      <cdr:x>0.17992</cdr:x>
      <cdr:y>0.61747</cdr:y>
    </cdr:to>
    <cdr:sp macro="" textlink="">
      <cdr:nvSpPr>
        <cdr:cNvPr id="45" name="TextBox 1">
          <a:extLst xmlns:a="http://schemas.openxmlformats.org/drawingml/2006/main">
            <a:ext uri="{FF2B5EF4-FFF2-40B4-BE49-F238E27FC236}">
              <a16:creationId xmlns:a16="http://schemas.microsoft.com/office/drawing/2014/main" id="{A3ABF8C7-6941-4705-B419-DBE859DBCA2E}"/>
            </a:ext>
          </a:extLst>
        </cdr:cNvPr>
        <cdr:cNvSpPr txBox="1"/>
      </cdr:nvSpPr>
      <cdr:spPr>
        <a:xfrm xmlns:a="http://schemas.openxmlformats.org/drawingml/2006/main" rot="16200000">
          <a:off x="723161" y="2798578"/>
          <a:ext cx="1605813" cy="292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400">
              <a:latin typeface="Arial" panose="020B0604020202020204" pitchFamily="34" charset="0"/>
              <a:cs typeface="Arial" panose="020B0604020202020204" pitchFamily="34" charset="0"/>
            </a:rPr>
            <a:t>Sidelength (m)</a:t>
          </a:r>
        </a:p>
      </cdr:txBody>
    </cdr:sp>
  </cdr:relSizeAnchor>
  <cdr:relSizeAnchor xmlns:cdr="http://schemas.openxmlformats.org/drawingml/2006/chartDrawing">
    <cdr:from>
      <cdr:x>0.28313</cdr:x>
      <cdr:y>0.0292</cdr:y>
    </cdr:from>
    <cdr:to>
      <cdr:x>0.71115</cdr:x>
      <cdr:y>0.10365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47" name="TextBox 46">
              <a:extLst xmlns:a="http://schemas.openxmlformats.org/drawingml/2006/main">
                <a:ext uri="{FF2B5EF4-FFF2-40B4-BE49-F238E27FC236}">
                  <a16:creationId xmlns:a16="http://schemas.microsoft.com/office/drawing/2014/main" id="{368C7DB1-DFA1-4A32-A121-B1716D81FF69}"/>
                </a:ext>
              </a:extLst>
            </cdr:cNvPr>
            <cdr:cNvSpPr txBox="1"/>
          </cdr:nvSpPr>
          <cdr:spPr>
            <a:xfrm xmlns:a="http://schemas.openxmlformats.org/drawingml/2006/main">
              <a:off x="2631558" y="177209"/>
              <a:ext cx="3978349" cy="45188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800" i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Arial" panose="020B0604020202020204" pitchFamily="34" charset="0"/>
                </a:rPr>
                <a:t>S2:</a:t>
              </a:r>
              <a:r>
                <a:rPr lang="en-GB" sz="180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Arial" panose="020B0604020202020204" pitchFamily="34" charset="0"/>
                </a:rPr>
                <a:t> </a:t>
              </a:r>
              <a14:m>
                <m:oMath xmlns:m="http://schemas.openxmlformats.org/officeDocument/2006/math">
                  <m:r>
                    <m:rPr>
                      <m:sty m:val="p"/>
                    </m:rPr>
                    <a:rPr lang="en-GB" sz="1800" b="0" i="0" baseline="0"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FEV</m:t>
                  </m:r>
                  <m:r>
                    <a:rPr lang="en-GB" sz="1800" i="0" baseline="0"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≈</m:t>
                  </m:r>
                  <m:sSup>
                    <m:sSupPr>
                      <m:ctrlPr>
                        <a:rPr lang="en-GB" sz="1800" b="0" i="1" baseline="0"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GB" sz="1800" b="0" i="0" baseline="0"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725</m:t>
                      </m:r>
                    </m:e>
                    <m:sup>
                      <m:r>
                        <a:rPr lang="en-GB" sz="1800" b="0" i="0" baseline="0"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2</m:t>
                      </m:r>
                    </m:sup>
                  </m:sSup>
                  <m:sSup>
                    <m:sSupPr>
                      <m:ctrlPr>
                        <a:rPr lang="en-GB" sz="1800" b="0" i="1" baseline="0"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m:rPr>
                          <m:sty m:val="p"/>
                        </m:rPr>
                        <a:rPr lang="en-GB" sz="1800" b="0" i="0" baseline="0"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m</m:t>
                      </m:r>
                    </m:e>
                    <m:sup>
                      <m:r>
                        <a:rPr lang="en-GB" sz="1800" b="0" i="0" baseline="0"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2</m:t>
                      </m:r>
                    </m:sup>
                  </m:sSup>
                  <m:r>
                    <a:rPr lang="en-GB" sz="1800" b="0" i="0" baseline="0"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 ×2</m:t>
                  </m:r>
                  <m:r>
                    <m:rPr>
                      <m:sty m:val="p"/>
                    </m:rPr>
                    <a:rPr lang="en-GB" sz="1800" b="0" i="0" baseline="0"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m</m:t>
                  </m:r>
                  <m:r>
                    <a:rPr lang="en-GB" sz="1800" b="0" i="0" baseline="0"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=1.05</m:t>
                  </m:r>
                  <m:r>
                    <m:rPr>
                      <m:sty m:val="p"/>
                    </m:rPr>
                    <a:rPr lang="en-GB" sz="1800" b="0" i="0" baseline="0"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M</m:t>
                  </m:r>
                  <m:sSup>
                    <m:sSupPr>
                      <m:ctrlPr>
                        <a:rPr lang="en-GB" sz="1800" b="0" i="1" baseline="0"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m:rPr>
                          <m:sty m:val="p"/>
                        </m:rPr>
                        <a:rPr lang="en-GB" sz="1800" b="0" i="0" baseline="0"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m</m:t>
                      </m:r>
                    </m:e>
                    <m:sup>
                      <m:r>
                        <a:rPr lang="en-GB" sz="1800" b="0" i="0" baseline="0"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3</m:t>
                      </m:r>
                    </m:sup>
                  </m:sSup>
                </m:oMath>
              </a14:m>
              <a:endParaRPr lang="en-GB" sz="180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Arial" panose="020B0604020202020204" pitchFamily="34" charset="0"/>
              </a:endParaRPr>
            </a:p>
            <a:p xmlns:a="http://schemas.openxmlformats.org/drawingml/2006/main">
              <a:endParaRPr lang="en-GB" sz="1100"/>
            </a:p>
          </cdr:txBody>
        </cdr:sp>
      </mc:Choice>
      <mc:Fallback xmlns="">
        <cdr:sp macro="" textlink="">
          <cdr:nvSpPr>
            <cdr:cNvPr id="47" name="TextBox 46">
              <a:extLst xmlns:a="http://schemas.openxmlformats.org/drawingml/2006/main">
                <a:ext uri="{FF2B5EF4-FFF2-40B4-BE49-F238E27FC236}">
                  <a16:creationId xmlns:a16="http://schemas.microsoft.com/office/drawing/2014/main" id="{368C7DB1-DFA1-4A32-A121-B1716D81FF69}"/>
                </a:ext>
              </a:extLst>
            </cdr:cNvPr>
            <cdr:cNvSpPr txBox="1"/>
          </cdr:nvSpPr>
          <cdr:spPr>
            <a:xfrm xmlns:a="http://schemas.openxmlformats.org/drawingml/2006/main">
              <a:off x="2631558" y="177209"/>
              <a:ext cx="3978349" cy="45188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800" i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Arial" panose="020B0604020202020204" pitchFamily="34" charset="0"/>
                </a:rPr>
                <a:t>S2:</a:t>
              </a:r>
              <a:r>
                <a:rPr lang="en-GB" sz="180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Arial" panose="020B0604020202020204" pitchFamily="34" charset="0"/>
                </a:rPr>
                <a:t> </a:t>
              </a:r>
              <a:r>
                <a:rPr lang="en-GB" sz="18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FEV</a:t>
              </a:r>
              <a:r>
                <a:rPr lang="en-GB" sz="180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≈</a:t>
              </a:r>
              <a:r>
                <a:rPr lang="en-GB" sz="18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725^2 m^2  ×2m=1.05Mm^3</a:t>
              </a:r>
              <a:endParaRPr lang="en-GB" sz="180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Arial" panose="020B0604020202020204" pitchFamily="34" charset="0"/>
              </a:endParaRPr>
            </a:p>
            <a:p xmlns:a="http://schemas.openxmlformats.org/drawingml/2006/main">
              <a:endParaRPr lang="en-GB" sz="1100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02"/>
  <sheetViews>
    <sheetView workbookViewId="0">
      <selection activeCell="F17" sqref="F17"/>
    </sheetView>
  </sheetViews>
  <sheetFormatPr defaultRowHeight="14.4" x14ac:dyDescent="0.3"/>
  <cols>
    <col min="1" max="1" width="16.77734375" customWidth="1"/>
    <col min="2" max="2" width="17.88671875" customWidth="1"/>
    <col min="7" max="7" width="16.5546875" customWidth="1"/>
    <col min="11" max="12" width="8.88671875" customWidth="1"/>
  </cols>
  <sheetData>
    <row r="1" spans="1:9" x14ac:dyDescent="0.3">
      <c r="G1" t="s">
        <v>0</v>
      </c>
      <c r="H1" t="s">
        <v>1</v>
      </c>
      <c r="I1" t="s">
        <v>2</v>
      </c>
    </row>
    <row r="2" spans="1:9" x14ac:dyDescent="0.3">
      <c r="A2" s="2"/>
      <c r="B2" s="1"/>
      <c r="G2" s="2">
        <v>1</v>
      </c>
      <c r="H2" s="1">
        <v>34.904444572007002</v>
      </c>
      <c r="I2">
        <v>1.72</v>
      </c>
    </row>
    <row r="3" spans="1:9" x14ac:dyDescent="0.3">
      <c r="A3" s="2"/>
      <c r="B3" s="1"/>
      <c r="G3" s="2">
        <v>1.0208330000000001</v>
      </c>
      <c r="H3" s="1">
        <v>33.3601104258098</v>
      </c>
      <c r="I3">
        <v>1.67</v>
      </c>
    </row>
    <row r="4" spans="1:9" x14ac:dyDescent="0.3">
      <c r="A4" s="2"/>
      <c r="B4" s="1"/>
      <c r="G4" s="2">
        <v>1.0416660000000002</v>
      </c>
      <c r="H4" s="1">
        <v>32.145689332326164</v>
      </c>
      <c r="I4">
        <v>1.63</v>
      </c>
    </row>
    <row r="5" spans="1:9" x14ac:dyDescent="0.3">
      <c r="A5" s="2"/>
      <c r="B5" s="1"/>
      <c r="G5" s="2">
        <v>1.0624990000000003</v>
      </c>
      <c r="H5" s="1">
        <v>10.442755441412539</v>
      </c>
      <c r="I5">
        <v>0.75</v>
      </c>
    </row>
    <row r="6" spans="1:9" x14ac:dyDescent="0.3">
      <c r="A6" s="2"/>
      <c r="B6" s="1"/>
      <c r="G6" s="2">
        <v>1.0833320000000004</v>
      </c>
      <c r="H6" s="1">
        <v>30.359406423547881</v>
      </c>
      <c r="I6">
        <v>1.57</v>
      </c>
    </row>
    <row r="7" spans="1:9" x14ac:dyDescent="0.3">
      <c r="A7" s="2"/>
      <c r="B7" s="1"/>
      <c r="G7" s="2">
        <v>1.1041650000000005</v>
      </c>
      <c r="H7" s="1">
        <v>30.950101132135604</v>
      </c>
      <c r="I7">
        <v>1.59</v>
      </c>
    </row>
    <row r="8" spans="1:9" x14ac:dyDescent="0.3">
      <c r="A8" s="2"/>
      <c r="B8" s="1"/>
      <c r="G8" s="2">
        <v>1.1249980000000006</v>
      </c>
      <c r="H8" s="1">
        <v>31.24722614811364</v>
      </c>
      <c r="I8">
        <v>1.6</v>
      </c>
    </row>
    <row r="9" spans="1:9" x14ac:dyDescent="0.3">
      <c r="A9" s="2"/>
      <c r="B9" s="1"/>
      <c r="G9" s="2">
        <v>1.1458310000000007</v>
      </c>
      <c r="H9" s="1">
        <v>31.545533761806958</v>
      </c>
      <c r="I9">
        <v>1.61</v>
      </c>
    </row>
    <row r="10" spans="1:9" x14ac:dyDescent="0.3">
      <c r="A10" s="2"/>
      <c r="B10" s="1"/>
      <c r="G10" s="2">
        <v>1.1666640000000008</v>
      </c>
      <c r="H10" s="1">
        <v>29.77346483292817</v>
      </c>
      <c r="I10">
        <v>1.55</v>
      </c>
    </row>
    <row r="11" spans="1:9" x14ac:dyDescent="0.3">
      <c r="A11" s="2"/>
      <c r="B11" s="1"/>
      <c r="G11" s="2">
        <v>1.1874970000000009</v>
      </c>
      <c r="H11" s="1">
        <v>29.482281266504994</v>
      </c>
      <c r="I11">
        <v>1.54</v>
      </c>
    </row>
    <row r="12" spans="1:9" x14ac:dyDescent="0.3">
      <c r="A12" s="2"/>
      <c r="B12" s="1"/>
      <c r="G12" s="2">
        <v>1.208330000000001</v>
      </c>
      <c r="H12" s="1">
        <v>28.615902910397427</v>
      </c>
      <c r="I12">
        <v>1.51</v>
      </c>
    </row>
    <row r="13" spans="1:9" x14ac:dyDescent="0.3">
      <c r="A13" s="2"/>
      <c r="B13" s="1"/>
      <c r="G13" s="2">
        <v>1.2291630000000011</v>
      </c>
      <c r="H13" s="1">
        <v>29.192291779444627</v>
      </c>
      <c r="I13">
        <v>1.53</v>
      </c>
    </row>
    <row r="14" spans="1:9" x14ac:dyDescent="0.3">
      <c r="A14" s="2"/>
      <c r="B14" s="1"/>
      <c r="G14" s="2">
        <v>1.2499960000000012</v>
      </c>
      <c r="H14" s="1">
        <v>36.477805403137715</v>
      </c>
      <c r="I14">
        <v>1.77</v>
      </c>
    </row>
    <row r="15" spans="1:9" x14ac:dyDescent="0.3">
      <c r="A15" s="2"/>
      <c r="B15" s="1"/>
      <c r="C15" s="1"/>
      <c r="G15" s="2">
        <v>1.2708290000000013</v>
      </c>
      <c r="H15" s="1">
        <v>44.772822719455768</v>
      </c>
      <c r="I15">
        <v>2.02</v>
      </c>
    </row>
    <row r="16" spans="1:9" x14ac:dyDescent="0.3">
      <c r="A16" s="2"/>
      <c r="B16" s="1"/>
      <c r="G16" s="2">
        <v>1.2916620000000014</v>
      </c>
      <c r="H16" s="1">
        <v>45.466809063751398</v>
      </c>
      <c r="I16">
        <v>2.04</v>
      </c>
    </row>
    <row r="17" spans="1:13" x14ac:dyDescent="0.3">
      <c r="A17" s="2"/>
      <c r="B17" s="1"/>
      <c r="G17" s="2">
        <v>1.3124950000000015</v>
      </c>
      <c r="H17" s="1">
        <v>46.516118627833954</v>
      </c>
      <c r="I17">
        <v>2.0699999999999998</v>
      </c>
    </row>
    <row r="18" spans="1:13" x14ac:dyDescent="0.3">
      <c r="A18" s="2"/>
      <c r="B18" s="1"/>
      <c r="G18" s="2">
        <v>1.3333280000000016</v>
      </c>
      <c r="H18" s="1">
        <v>48.287088308371203</v>
      </c>
      <c r="I18">
        <v>2.12</v>
      </c>
    </row>
    <row r="19" spans="1:13" x14ac:dyDescent="0.3">
      <c r="A19" s="2"/>
      <c r="B19" s="1"/>
      <c r="G19" s="2">
        <v>1.3541610000000017</v>
      </c>
      <c r="H19" s="1">
        <v>56.403875892579457</v>
      </c>
      <c r="I19">
        <v>2.34</v>
      </c>
    </row>
    <row r="20" spans="1:13" x14ac:dyDescent="0.3">
      <c r="A20" s="2"/>
      <c r="B20" s="1"/>
      <c r="G20" s="2">
        <v>1.3749940000000018</v>
      </c>
      <c r="H20" s="1">
        <v>62.633687315169389</v>
      </c>
      <c r="I20">
        <v>2.5</v>
      </c>
      <c r="K20" t="s">
        <v>6</v>
      </c>
    </row>
    <row r="21" spans="1:13" x14ac:dyDescent="0.3">
      <c r="A21" s="2"/>
      <c r="B21" s="1"/>
      <c r="G21" s="3">
        <v>1.3958270000000019</v>
      </c>
      <c r="H21" s="4">
        <v>78.065912103064946</v>
      </c>
      <c r="I21" s="5">
        <v>2.87</v>
      </c>
      <c r="K21">
        <f>(H21-75)*$M$24*3600/16</f>
        <v>5173.6438942953391</v>
      </c>
      <c r="L21" t="s">
        <v>3</v>
      </c>
      <c r="M21">
        <f>SUM(K21:K36)</f>
        <v>1050454.9719487487</v>
      </c>
    </row>
    <row r="22" spans="1:13" x14ac:dyDescent="0.3">
      <c r="A22" s="2"/>
      <c r="B22" s="1"/>
      <c r="G22" s="3">
        <v>1.416660000000002</v>
      </c>
      <c r="H22" s="4">
        <v>78.940144409066676</v>
      </c>
      <c r="I22" s="5">
        <v>2.89</v>
      </c>
      <c r="K22">
        <f t="shared" ref="K22:K36" si="0">(H22-75)*$M$24*3600/16</f>
        <v>6648.8873064010031</v>
      </c>
      <c r="L22" t="s">
        <v>4</v>
      </c>
      <c r="M22">
        <f>(112.74-75)*7.5*3600</f>
        <v>1018979.9999999999</v>
      </c>
    </row>
    <row r="23" spans="1:13" x14ac:dyDescent="0.3">
      <c r="A23" s="2"/>
      <c r="B23" s="1"/>
      <c r="G23" s="3">
        <v>1.4374930000000021</v>
      </c>
      <c r="H23" s="4">
        <v>89.74514938175389</v>
      </c>
      <c r="I23" s="5">
        <v>3.13</v>
      </c>
      <c r="K23">
        <f t="shared" si="0"/>
        <v>24882.041462676505</v>
      </c>
      <c r="L23" t="s">
        <v>5</v>
      </c>
      <c r="M23">
        <f>(3.6-2.8)*149.84/4.29*7.5*3600</f>
        <v>754439.16083916102</v>
      </c>
    </row>
    <row r="24" spans="1:13" x14ac:dyDescent="0.3">
      <c r="A24" s="2"/>
      <c r="B24" s="1"/>
      <c r="G24" s="3">
        <v>1.4583260000000022</v>
      </c>
      <c r="H24" s="4">
        <v>125.01529944955577</v>
      </c>
      <c r="I24" s="5">
        <v>3.84</v>
      </c>
      <c r="K24">
        <f t="shared" si="0"/>
        <v>84399.46740804064</v>
      </c>
      <c r="L24" t="s">
        <v>7</v>
      </c>
      <c r="M24">
        <f>(G36-G21)*24</f>
        <v>7.4998800000000365</v>
      </c>
    </row>
    <row r="25" spans="1:13" x14ac:dyDescent="0.3">
      <c r="A25" s="2"/>
      <c r="B25" s="1"/>
      <c r="G25" s="3">
        <v>1.4791590000000023</v>
      </c>
      <c r="H25" s="4">
        <v>139.12895579864008</v>
      </c>
      <c r="I25" s="5">
        <v>4.0999999999999996</v>
      </c>
      <c r="K25">
        <f t="shared" si="0"/>
        <v>108215.88142839909</v>
      </c>
    </row>
    <row r="26" spans="1:13" x14ac:dyDescent="0.3">
      <c r="A26" s="2"/>
      <c r="B26" s="1"/>
      <c r="G26" s="3">
        <v>1.4999920000000024</v>
      </c>
      <c r="H26" s="4">
        <v>149.83787289361723</v>
      </c>
      <c r="I26" s="5">
        <v>4.29</v>
      </c>
      <c r="K26">
        <f t="shared" si="0"/>
        <v>126286.88988541155</v>
      </c>
    </row>
    <row r="27" spans="1:13" x14ac:dyDescent="0.3">
      <c r="A27" s="2"/>
      <c r="B27" s="1"/>
      <c r="G27" s="3">
        <v>1.5208250000000025</v>
      </c>
      <c r="H27" s="4">
        <v>131.99347375189518</v>
      </c>
      <c r="I27" s="5">
        <v>3.97</v>
      </c>
      <c r="K27">
        <f t="shared" si="0"/>
        <v>96174.948132532285</v>
      </c>
    </row>
    <row r="28" spans="1:13" x14ac:dyDescent="0.3">
      <c r="A28" s="2"/>
      <c r="B28" s="1"/>
      <c r="G28" s="3">
        <v>1.5416580000000026</v>
      </c>
      <c r="H28" s="4">
        <v>142.47493037649883</v>
      </c>
      <c r="I28" s="5">
        <v>4.16</v>
      </c>
      <c r="K28">
        <f t="shared" si="0"/>
        <v>113862.12318722217</v>
      </c>
    </row>
    <row r="29" spans="1:13" x14ac:dyDescent="0.3">
      <c r="A29" s="2"/>
      <c r="B29" s="1"/>
      <c r="G29" s="3">
        <v>1.5624910000000027</v>
      </c>
      <c r="H29" s="4">
        <v>136.36601185511176</v>
      </c>
      <c r="I29" s="5">
        <v>4.05</v>
      </c>
      <c r="K29">
        <f t="shared" si="0"/>
        <v>103553.48812318151</v>
      </c>
    </row>
    <row r="30" spans="1:13" x14ac:dyDescent="0.3">
      <c r="A30" s="2"/>
      <c r="B30" s="1"/>
      <c r="G30" s="3">
        <v>1.5833240000000028</v>
      </c>
      <c r="H30" s="4">
        <v>136.36601185511176</v>
      </c>
      <c r="I30" s="5">
        <v>4.05</v>
      </c>
      <c r="K30">
        <f t="shared" si="0"/>
        <v>103553.48812318151</v>
      </c>
    </row>
    <row r="31" spans="1:13" x14ac:dyDescent="0.3">
      <c r="A31" s="2"/>
      <c r="B31" s="1"/>
      <c r="G31" s="3">
        <v>1.6041570000000029</v>
      </c>
      <c r="H31" s="4">
        <v>128.21635860745323</v>
      </c>
      <c r="I31" s="5">
        <v>3.9</v>
      </c>
      <c r="K31">
        <f t="shared" si="0"/>
        <v>89801.168308395369</v>
      </c>
    </row>
    <row r="32" spans="1:13" x14ac:dyDescent="0.3">
      <c r="A32" s="2"/>
      <c r="B32" s="1"/>
      <c r="G32" s="3">
        <v>1.624990000000003</v>
      </c>
      <c r="H32" s="4">
        <v>117.16089768942179</v>
      </c>
      <c r="I32" s="5">
        <v>3.69</v>
      </c>
      <c r="K32">
        <f t="shared" si="0"/>
        <v>71145.376506661996</v>
      </c>
    </row>
    <row r="33" spans="1:11" x14ac:dyDescent="0.3">
      <c r="A33" s="2"/>
      <c r="B33" s="1"/>
      <c r="G33" s="3">
        <v>1.6458230000000031</v>
      </c>
      <c r="H33" s="4">
        <v>106.02820876355767</v>
      </c>
      <c r="I33" s="5">
        <v>3.47</v>
      </c>
      <c r="K33">
        <f t="shared" si="0"/>
        <v>52359.264526867213</v>
      </c>
    </row>
    <row r="34" spans="1:11" x14ac:dyDescent="0.3">
      <c r="A34" s="2"/>
      <c r="B34" s="1"/>
      <c r="G34" s="3">
        <v>1.6666560000000032</v>
      </c>
      <c r="H34" s="4">
        <v>95.837314079707468</v>
      </c>
      <c r="I34" s="5">
        <v>3.26</v>
      </c>
      <c r="K34">
        <f t="shared" si="0"/>
        <v>35162.404902026377</v>
      </c>
    </row>
    <row r="35" spans="1:11" x14ac:dyDescent="0.3">
      <c r="A35" s="2"/>
      <c r="B35" s="1"/>
      <c r="G35" s="3">
        <v>1.6874890000000033</v>
      </c>
      <c r="H35" s="4">
        <v>88.822733354395282</v>
      </c>
      <c r="I35" s="5">
        <v>3.11</v>
      </c>
      <c r="K35">
        <f t="shared" si="0"/>
        <v>23325.489321741585</v>
      </c>
    </row>
    <row r="36" spans="1:11" x14ac:dyDescent="0.3">
      <c r="A36" s="2"/>
      <c r="B36" s="1"/>
      <c r="G36" s="3">
        <v>1.7083220000000034</v>
      </c>
      <c r="H36" s="4">
        <v>78.502520888757616</v>
      </c>
      <c r="I36" s="5">
        <v>2.88</v>
      </c>
      <c r="K36">
        <f t="shared" si="0"/>
        <v>5910.4094317145082</v>
      </c>
    </row>
    <row r="37" spans="1:11" x14ac:dyDescent="0.3">
      <c r="A37" s="2"/>
      <c r="B37" s="1"/>
      <c r="G37" s="2">
        <v>1.7291550000000036</v>
      </c>
      <c r="H37" s="1">
        <v>70.799744548224254</v>
      </c>
      <c r="I37">
        <v>2.7</v>
      </c>
    </row>
    <row r="38" spans="1:11" x14ac:dyDescent="0.3">
      <c r="A38" s="2"/>
      <c r="B38" s="1"/>
      <c r="G38" s="2">
        <v>1.7499880000000037</v>
      </c>
      <c r="H38" s="1">
        <v>63.831942962422993</v>
      </c>
      <c r="I38">
        <v>2.5299999999999998</v>
      </c>
    </row>
    <row r="39" spans="1:11" x14ac:dyDescent="0.3">
      <c r="A39" s="2"/>
      <c r="B39" s="1"/>
      <c r="G39" s="2">
        <v>1.7708210000000038</v>
      </c>
      <c r="H39" s="1">
        <v>59.874683810505843</v>
      </c>
      <c r="I39">
        <v>2.4300000000000002</v>
      </c>
    </row>
    <row r="40" spans="1:11" x14ac:dyDescent="0.3">
      <c r="A40" s="2"/>
      <c r="B40" s="1"/>
      <c r="G40" s="2">
        <v>1.7916540000000039</v>
      </c>
      <c r="H40" s="1">
        <v>56.023574920640158</v>
      </c>
      <c r="I40">
        <v>2.33</v>
      </c>
    </row>
    <row r="41" spans="1:11" x14ac:dyDescent="0.3">
      <c r="A41" s="2"/>
      <c r="B41" s="1"/>
      <c r="G41" s="2">
        <v>1.812487000000004</v>
      </c>
      <c r="H41" s="1">
        <v>52.649309105092513</v>
      </c>
      <c r="I41">
        <v>2.2400000000000002</v>
      </c>
    </row>
    <row r="42" spans="1:11" x14ac:dyDescent="0.3">
      <c r="A42" s="2"/>
      <c r="B42" s="1"/>
      <c r="G42" s="2">
        <v>1.8333200000000041</v>
      </c>
      <c r="H42" s="1">
        <v>50.085560438692454</v>
      </c>
      <c r="I42">
        <v>2.17</v>
      </c>
    </row>
    <row r="43" spans="1:11" x14ac:dyDescent="0.3">
      <c r="A43" s="2"/>
      <c r="B43" s="1"/>
      <c r="G43" s="2">
        <v>1.8541530000000042</v>
      </c>
      <c r="H43" s="1">
        <v>48.644587936927437</v>
      </c>
      <c r="I43">
        <v>2.13</v>
      </c>
    </row>
    <row r="44" spans="1:11" x14ac:dyDescent="0.3">
      <c r="A44" s="2"/>
      <c r="B44" s="1"/>
      <c r="G44" s="2">
        <v>1.8749860000000043</v>
      </c>
      <c r="H44" s="1">
        <v>46.868104213766671</v>
      </c>
      <c r="I44">
        <v>2.08</v>
      </c>
    </row>
    <row r="45" spans="1:11" x14ac:dyDescent="0.3">
      <c r="A45" s="2"/>
      <c r="B45" s="1"/>
      <c r="G45" s="2">
        <v>1.8958190000000044</v>
      </c>
      <c r="H45" s="1">
        <v>45.466809063751398</v>
      </c>
      <c r="I45">
        <v>2.04</v>
      </c>
    </row>
    <row r="46" spans="1:11" x14ac:dyDescent="0.3">
      <c r="A46" s="2"/>
      <c r="B46" s="1"/>
      <c r="G46" s="2">
        <v>1.9166520000000045</v>
      </c>
      <c r="H46" s="1">
        <v>44.083292319525967</v>
      </c>
      <c r="I46">
        <v>2</v>
      </c>
    </row>
    <row r="47" spans="1:11" x14ac:dyDescent="0.3">
      <c r="A47" s="2"/>
      <c r="B47" s="1"/>
      <c r="G47" s="2">
        <v>1.9374850000000046</v>
      </c>
      <c r="H47" s="1">
        <v>42.717645519278214</v>
      </c>
      <c r="I47">
        <v>1.96</v>
      </c>
    </row>
    <row r="48" spans="1:11" x14ac:dyDescent="0.3">
      <c r="A48" s="2"/>
      <c r="B48" s="1"/>
      <c r="G48" s="2">
        <v>1.9583180000000047</v>
      </c>
      <c r="H48" s="1">
        <v>41.705193853787243</v>
      </c>
      <c r="I48">
        <v>1.93</v>
      </c>
    </row>
    <row r="49" spans="1:9" x14ac:dyDescent="0.3">
      <c r="A49" s="2"/>
      <c r="B49" s="1"/>
      <c r="G49" s="2">
        <v>1.9791510000000048</v>
      </c>
      <c r="H49" s="1">
        <v>40.70288705260009</v>
      </c>
      <c r="I49">
        <v>1.9</v>
      </c>
    </row>
    <row r="50" spans="1:9" x14ac:dyDescent="0.3">
      <c r="A50" s="2"/>
      <c r="B50" s="1"/>
      <c r="G50" s="2">
        <v>1.9999840000000049</v>
      </c>
      <c r="H50" s="1">
        <v>40.040338817766795</v>
      </c>
      <c r="I50">
        <v>1.88</v>
      </c>
    </row>
    <row r="51" spans="1:9" x14ac:dyDescent="0.3">
      <c r="A51" s="2"/>
      <c r="B51" s="1"/>
      <c r="G51" s="2">
        <v>2</v>
      </c>
      <c r="H51" s="1">
        <v>42.379036929868768</v>
      </c>
      <c r="I51">
        <v>1.95</v>
      </c>
    </row>
    <row r="52" spans="1:9" x14ac:dyDescent="0.3">
      <c r="G52" s="2">
        <v>2.020817000000005</v>
      </c>
      <c r="H52" s="1">
        <v>39.382330024779627</v>
      </c>
      <c r="I52">
        <v>1.86</v>
      </c>
    </row>
    <row r="53" spans="1:9" x14ac:dyDescent="0.3">
      <c r="G53" s="2">
        <v>2.0208330000000001</v>
      </c>
      <c r="H53" s="1">
        <v>39.710766212342079</v>
      </c>
      <c r="I53">
        <v>1.87</v>
      </c>
    </row>
    <row r="54" spans="1:9" x14ac:dyDescent="0.3">
      <c r="G54" s="2">
        <v>2.0416660000000002</v>
      </c>
      <c r="H54" s="1">
        <v>38.403855713636979</v>
      </c>
      <c r="I54">
        <v>1.83</v>
      </c>
    </row>
    <row r="55" spans="1:9" x14ac:dyDescent="0.3">
      <c r="G55" s="2">
        <v>2.0624990000000003</v>
      </c>
      <c r="H55" s="1">
        <v>37.435666261064455</v>
      </c>
      <c r="I55">
        <v>1.8</v>
      </c>
    </row>
    <row r="56" spans="1:9" x14ac:dyDescent="0.3">
      <c r="G56" s="2">
        <v>2.0833320000000004</v>
      </c>
      <c r="H56" s="1">
        <v>36.477805403137715</v>
      </c>
      <c r="I56">
        <v>1.77</v>
      </c>
    </row>
    <row r="57" spans="1:9" x14ac:dyDescent="0.3">
      <c r="G57" s="2">
        <v>2.1041650000000005</v>
      </c>
      <c r="H57" s="1">
        <v>36.160821375122772</v>
      </c>
      <c r="I57">
        <v>1.76</v>
      </c>
    </row>
    <row r="58" spans="1:9" x14ac:dyDescent="0.3">
      <c r="G58" s="2">
        <v>2.1249980000000006</v>
      </c>
      <c r="H58" s="1">
        <v>35.216801486311034</v>
      </c>
      <c r="I58">
        <v>1.73</v>
      </c>
    </row>
    <row r="59" spans="1:9" x14ac:dyDescent="0.3">
      <c r="G59" s="2">
        <v>2.1458310000000007</v>
      </c>
      <c r="H59" s="1">
        <v>34.904444572007037</v>
      </c>
      <c r="I59">
        <v>1.72</v>
      </c>
    </row>
    <row r="60" spans="1:9" x14ac:dyDescent="0.3">
      <c r="G60" s="2">
        <v>2.1666640000000008</v>
      </c>
      <c r="H60" s="1">
        <v>34.283215605598052</v>
      </c>
      <c r="I60">
        <v>1.7</v>
      </c>
    </row>
    <row r="61" spans="1:9" x14ac:dyDescent="0.3">
      <c r="G61" s="2">
        <v>2.1874970000000009</v>
      </c>
      <c r="H61" s="1">
        <v>33.974347023617185</v>
      </c>
      <c r="I61">
        <v>1.69</v>
      </c>
    </row>
    <row r="62" spans="1:9" x14ac:dyDescent="0.3">
      <c r="G62" s="2">
        <v>2.208330000000001</v>
      </c>
      <c r="H62" s="1">
        <v>33.666644708797705</v>
      </c>
      <c r="I62">
        <v>1.68</v>
      </c>
    </row>
    <row r="63" spans="1:9" x14ac:dyDescent="0.3">
      <c r="G63" s="2">
        <v>2.2291630000000011</v>
      </c>
      <c r="H63" s="1">
        <v>33.3601104258098</v>
      </c>
      <c r="I63">
        <v>1.67</v>
      </c>
    </row>
    <row r="64" spans="1:9" x14ac:dyDescent="0.3">
      <c r="G64" s="2">
        <v>2.2499960000000012</v>
      </c>
      <c r="H64" s="1">
        <v>33.054745951426895</v>
      </c>
      <c r="I64">
        <v>1.66</v>
      </c>
    </row>
    <row r="65" spans="7:9" x14ac:dyDescent="0.3">
      <c r="G65" s="2">
        <v>2.2708290000000013</v>
      </c>
      <c r="H65" s="1">
        <v>32.447533596979106</v>
      </c>
      <c r="I65">
        <v>1.64</v>
      </c>
    </row>
    <row r="66" spans="7:9" x14ac:dyDescent="0.3">
      <c r="G66" s="2">
        <v>2.2916620000000014</v>
      </c>
      <c r="H66" s="1">
        <v>32.447533596979106</v>
      </c>
      <c r="I66">
        <v>1.64</v>
      </c>
    </row>
    <row r="67" spans="7:9" x14ac:dyDescent="0.3">
      <c r="G67" s="2">
        <v>2.3124950000000015</v>
      </c>
      <c r="H67" s="1">
        <v>32.145689332326164</v>
      </c>
      <c r="I67">
        <v>1.63</v>
      </c>
    </row>
    <row r="68" spans="7:9" x14ac:dyDescent="0.3">
      <c r="G68" s="2">
        <v>2.3333280000000016</v>
      </c>
      <c r="H68" s="1">
        <v>31.845022107412358</v>
      </c>
      <c r="I68">
        <v>1.62</v>
      </c>
    </row>
    <row r="69" spans="7:9" x14ac:dyDescent="0.3">
      <c r="G69" s="2">
        <v>2.3541610000000017</v>
      </c>
      <c r="H69" s="1">
        <v>31.545533761806958</v>
      </c>
      <c r="I69">
        <v>1.61</v>
      </c>
    </row>
    <row r="70" spans="7:9" x14ac:dyDescent="0.3">
      <c r="G70" s="2">
        <v>2.3749940000000018</v>
      </c>
      <c r="H70" s="1">
        <v>31.24722614811364</v>
      </c>
      <c r="I70">
        <v>1.6</v>
      </c>
    </row>
    <row r="71" spans="7:9" x14ac:dyDescent="0.3">
      <c r="G71" s="2">
        <v>2.3958270000000019</v>
      </c>
      <c r="H71" s="1">
        <v>30.950101132135604</v>
      </c>
      <c r="I71">
        <v>1.59</v>
      </c>
    </row>
    <row r="72" spans="7:9" x14ac:dyDescent="0.3">
      <c r="G72" s="2">
        <v>2.416660000000002</v>
      </c>
      <c r="H72" s="1">
        <v>30.654160593043738</v>
      </c>
      <c r="I72">
        <v>1.58</v>
      </c>
    </row>
    <row r="73" spans="7:9" x14ac:dyDescent="0.3">
      <c r="G73" s="2">
        <v>2.4374930000000021</v>
      </c>
      <c r="H73" s="1">
        <v>30.359406423547881</v>
      </c>
      <c r="I73">
        <v>1.57</v>
      </c>
    </row>
    <row r="74" spans="7:9" x14ac:dyDescent="0.3">
      <c r="G74" s="2">
        <v>2.4583260000000022</v>
      </c>
      <c r="H74" s="1">
        <v>30.359406423547881</v>
      </c>
      <c r="I74">
        <v>1.57</v>
      </c>
    </row>
    <row r="75" spans="7:9" x14ac:dyDescent="0.3">
      <c r="G75" s="2">
        <v>2.4791590000000023</v>
      </c>
      <c r="H75" s="1">
        <v>30.065840530071263</v>
      </c>
      <c r="I75">
        <v>1.56</v>
      </c>
    </row>
    <row r="76" spans="7:9" x14ac:dyDescent="0.3">
      <c r="G76" s="2">
        <v>2.4999920000000024</v>
      </c>
      <c r="H76" s="1">
        <v>29.77346483292817</v>
      </c>
      <c r="I76">
        <v>1.55</v>
      </c>
    </row>
    <row r="77" spans="7:9" x14ac:dyDescent="0.3">
      <c r="G77" s="2">
        <v>2.5208250000000025</v>
      </c>
      <c r="H77" s="1">
        <v>29.77346483292817</v>
      </c>
      <c r="I77">
        <v>1.55</v>
      </c>
    </row>
    <row r="78" spans="7:9" x14ac:dyDescent="0.3">
      <c r="G78" s="2">
        <v>2.5416580000000026</v>
      </c>
      <c r="H78" s="1">
        <v>29.77346483292817</v>
      </c>
      <c r="I78">
        <v>1.55</v>
      </c>
    </row>
    <row r="79" spans="7:9" x14ac:dyDescent="0.3">
      <c r="G79" s="2">
        <v>2.5624910000000027</v>
      </c>
      <c r="H79" s="1">
        <v>29.482281266504994</v>
      </c>
      <c r="I79">
        <v>1.54</v>
      </c>
    </row>
    <row r="80" spans="7:9" x14ac:dyDescent="0.3">
      <c r="G80" s="2">
        <v>2.5833240000000028</v>
      </c>
      <c r="H80" s="1">
        <v>29.192291779444627</v>
      </c>
      <c r="I80">
        <v>1.53</v>
      </c>
    </row>
    <row r="81" spans="7:9" x14ac:dyDescent="0.3">
      <c r="G81" s="2">
        <v>2.6041570000000029</v>
      </c>
      <c r="H81" s="1">
        <v>28.903498334834364</v>
      </c>
      <c r="I81">
        <v>1.52</v>
      </c>
    </row>
    <row r="82" spans="7:9" x14ac:dyDescent="0.3">
      <c r="G82" s="2">
        <v>2.624990000000003</v>
      </c>
      <c r="H82" s="1">
        <v>28.615902910397427</v>
      </c>
      <c r="I82">
        <v>1.51</v>
      </c>
    </row>
    <row r="83" spans="7:9" x14ac:dyDescent="0.3">
      <c r="G83" s="2">
        <v>2.6458230000000031</v>
      </c>
      <c r="H83" s="1">
        <v>28.615902910397427</v>
      </c>
      <c r="I83">
        <v>1.51</v>
      </c>
    </row>
    <row r="84" spans="7:9" x14ac:dyDescent="0.3">
      <c r="G84" s="2">
        <v>2.6666560000000032</v>
      </c>
      <c r="H84" s="1">
        <v>28.615902910397427</v>
      </c>
      <c r="I84">
        <v>1.51</v>
      </c>
    </row>
    <row r="85" spans="7:9" x14ac:dyDescent="0.3">
      <c r="G85" s="2">
        <v>2.6874890000000033</v>
      </c>
      <c r="H85" s="1">
        <v>28.615902910397427</v>
      </c>
      <c r="I85">
        <v>1.51</v>
      </c>
    </row>
    <row r="86" spans="7:9" x14ac:dyDescent="0.3">
      <c r="G86" s="2">
        <v>2.7083220000000034</v>
      </c>
      <c r="H86" s="1">
        <v>28.329507498688159</v>
      </c>
      <c r="I86">
        <v>1.5</v>
      </c>
    </row>
    <row r="87" spans="7:9" x14ac:dyDescent="0.3">
      <c r="G87" s="2">
        <v>2.7291550000000036</v>
      </c>
      <c r="H87" s="1">
        <v>28.044314107290894</v>
      </c>
      <c r="I87">
        <v>1.49</v>
      </c>
    </row>
    <row r="88" spans="7:9" x14ac:dyDescent="0.3">
      <c r="G88" s="2">
        <v>2.7499880000000037</v>
      </c>
      <c r="H88" s="1">
        <v>27.760324759022804</v>
      </c>
      <c r="I88">
        <v>1.48</v>
      </c>
    </row>
    <row r="89" spans="7:9" x14ac:dyDescent="0.3">
      <c r="G89" s="2">
        <v>2.7708210000000038</v>
      </c>
      <c r="H89" s="1">
        <v>27.760324759022804</v>
      </c>
      <c r="I89">
        <v>1.48</v>
      </c>
    </row>
    <row r="90" spans="7:9" x14ac:dyDescent="0.3">
      <c r="G90" s="2">
        <v>2.7916540000000039</v>
      </c>
      <c r="H90" s="1">
        <v>27.760324759022804</v>
      </c>
      <c r="I90">
        <v>1.48</v>
      </c>
    </row>
    <row r="91" spans="7:9" x14ac:dyDescent="0.3">
      <c r="G91" s="2">
        <v>2.812487000000004</v>
      </c>
      <c r="H91" s="1">
        <v>27.760324759022804</v>
      </c>
      <c r="I91">
        <v>1.48</v>
      </c>
    </row>
    <row r="92" spans="7:9" x14ac:dyDescent="0.3">
      <c r="G92" s="2">
        <v>2.8333200000000041</v>
      </c>
      <c r="H92" s="1">
        <v>27.477541492140627</v>
      </c>
      <c r="I92">
        <v>1.47</v>
      </c>
    </row>
    <row r="93" spans="7:9" x14ac:dyDescent="0.3">
      <c r="G93" s="2">
        <v>2.8541530000000042</v>
      </c>
      <c r="H93" s="1">
        <v>27.195966360551484</v>
      </c>
      <c r="I93">
        <v>1.46</v>
      </c>
    </row>
    <row r="94" spans="7:9" x14ac:dyDescent="0.3">
      <c r="G94" s="2">
        <v>2.8749860000000043</v>
      </c>
      <c r="H94" s="1">
        <v>27.195966360551484</v>
      </c>
      <c r="I94">
        <v>1.46</v>
      </c>
    </row>
    <row r="95" spans="7:9" x14ac:dyDescent="0.3">
      <c r="G95" s="2">
        <v>2.8958190000000044</v>
      </c>
      <c r="H95" s="1">
        <v>27.195966360551484</v>
      </c>
      <c r="I95">
        <v>1.46</v>
      </c>
    </row>
    <row r="96" spans="7:9" x14ac:dyDescent="0.3">
      <c r="G96" s="2">
        <v>2.9166520000000045</v>
      </c>
      <c r="H96" s="1">
        <v>26.91560143402782</v>
      </c>
      <c r="I96">
        <v>1.45</v>
      </c>
    </row>
    <row r="97" spans="7:9" x14ac:dyDescent="0.3">
      <c r="G97" s="2">
        <v>2.9374850000000046</v>
      </c>
      <c r="H97" s="1">
        <v>26.91560143402782</v>
      </c>
      <c r="I97">
        <v>1.45</v>
      </c>
    </row>
    <row r="98" spans="7:9" x14ac:dyDescent="0.3">
      <c r="G98" s="2">
        <v>2.9583180000000047</v>
      </c>
      <c r="H98" s="1">
        <v>26.91560143402782</v>
      </c>
      <c r="I98">
        <v>1.45</v>
      </c>
    </row>
    <row r="99" spans="7:9" x14ac:dyDescent="0.3">
      <c r="G99" s="2">
        <v>2.9791510000000048</v>
      </c>
      <c r="H99" s="1">
        <v>27.195966360551484</v>
      </c>
      <c r="I99">
        <v>1.46</v>
      </c>
    </row>
    <row r="100" spans="7:9" x14ac:dyDescent="0.3">
      <c r="G100" s="2">
        <v>2.9999840000000049</v>
      </c>
      <c r="H100" s="1">
        <v>27.477541492140627</v>
      </c>
      <c r="I100">
        <v>1.47</v>
      </c>
    </row>
    <row r="101" spans="7:9" x14ac:dyDescent="0.3">
      <c r="G101" s="2">
        <v>3.020817000000005</v>
      </c>
      <c r="H101" s="1">
        <v>27.760324759022804</v>
      </c>
      <c r="I101">
        <v>1.48</v>
      </c>
    </row>
    <row r="102" spans="7:9" x14ac:dyDescent="0.3">
      <c r="G102" s="2"/>
    </row>
  </sheetData>
  <autoFilter ref="G1:I101" xr:uid="{300543EA-6DFE-4EFC-B07E-AB1D1FBFB075}">
    <sortState xmlns:xlrd2="http://schemas.microsoft.com/office/spreadsheetml/2017/richdata2" ref="G2:I101">
      <sortCondition ref="G1:G10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6</vt:i4>
      </vt:variant>
    </vt:vector>
  </HeadingPairs>
  <TitlesOfParts>
    <vt:vector size="7" baseType="lpstr">
      <vt:lpstr>Data</vt:lpstr>
      <vt:lpstr>rating curve</vt:lpstr>
      <vt:lpstr>3-panel graph</vt:lpstr>
      <vt:lpstr>Box</vt:lpstr>
      <vt:lpstr>FEV</vt:lpstr>
      <vt:lpstr>mitigation</vt:lpstr>
      <vt:lpstr>mitigation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2015-06-05T18:17:20Z</dcterms:created>
  <dcterms:modified xsi:type="dcterms:W3CDTF">2020-09-06T20:43:58Z</dcterms:modified>
</cp:coreProperties>
</file>